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PUT DATA" sheetId="1" r:id="rId1"/>
    <sheet name="TERM 1" sheetId="2" r:id="rId2"/>
    <sheet name="TERM 2" sheetId="3" r:id="rId3"/>
    <sheet name="TERM 3" sheetId="4" r:id="rId4"/>
    <sheet name="FINAL GRADES" sheetId="5" r:id="rId5"/>
    <sheet name="HELPER" sheetId="6" r:id="rId6"/>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applyNumberFormat="1"/>
    <xf numFmtId="1" fontId="0" fillId="0" borderId="0" xfId="0" applyNumberFormat="1"/>
    <xf numFmtId="9" fontId="0" fillId="0" borderId="0" xfId="0" applyNumberFormat="1"/>
    <xf numFmtId="4" fontId="0" fillId="0" borderId="0" xfId="0" applyNumberFormat="1"/>
    <xf numFmtId="2"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eetMetadata" Target="metadata.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3.88"/>
    <col min="2" max="2" customWidth="1" width="3.88"/>
    <col min="3" max="3" customWidth="1" width="19.63"/>
    <col min="4" max="4" customWidth="1" width="2.13"/>
    <col min="5" max="5" customWidth="1" width="18.88"/>
    <col min="6" max="6" customWidth="1" width="30.38"/>
    <col min="7" max="7" customWidth="1" width="3.88"/>
    <col min="8" max="8" customWidth="1" width="3.88"/>
    <col min="9" max="9" customWidth="1" width="3.88"/>
    <col min="10" max="10" customWidth="1" width="3.88"/>
    <col min="11" max="11" customWidth="1" width="37.63"/>
    <col min="12" max="12" customWidth="1" width="3.88"/>
    <col min="13" max="13" customWidth="1" width="3.88"/>
    <col min="14" max="14" customWidth="1" width="37.63"/>
    <col min="15" max="15" customWidth="1" width="3.88"/>
    <col min="16" max="16" customWidth="1" width="3.88"/>
  </cols>
  <sheetData>
    <row r="1" ht="12.75" customHeight="1">
      <c r="A1" t="str">
        <v>Input Data Sheet for Electronic-Class Record (ECR)</v>
      </c>
    </row>
    <row r="2" ht="12.75" customHeight="1"/>
    <row r="3" ht="12.75" customHeight="1"/>
    <row r="4" ht="12.75" customHeight="1"/>
    <row r="5" ht="12.75" customHeight="1"/>
    <row r="6" ht="12.75" customHeight="1"/>
    <row r="7" ht="15.75" customHeight="1">
      <c r="B7" t="str">
        <v>SCHOOL INFORMATION</v>
      </c>
      <c r="I7" t="str">
        <v>LEARNERS' NAMES</v>
      </c>
    </row>
    <row r="8" ht="15.75" customHeight="1"/>
    <row r="9" ht="12.75" customHeight="1"/>
    <row r="10" ht="13.5" customHeight="1">
      <c r="C10" t="str">
        <v>REGION</v>
      </c>
      <c r="D10" t="str">
        <v>:</v>
      </c>
      <c r="J10" t="str">
        <v>MALE</v>
      </c>
      <c r="M10" t="str">
        <v>FEMALE</v>
      </c>
    </row>
    <row r="11" ht="13.5" customHeight="1">
      <c r="C11" t="str">
        <v>DIVISION</v>
      </c>
      <c r="D11" t="str">
        <v>:</v>
      </c>
      <c r="J11">
        <v>1</v>
      </c>
      <c r="M11">
        <v>1</v>
      </c>
    </row>
    <row r="12" ht="13.5" customHeight="1">
      <c r="J12">
        <v>2</v>
      </c>
      <c r="M12">
        <v>2</v>
      </c>
    </row>
    <row r="13" ht="13.5" customHeight="1">
      <c r="C13" t="str">
        <v>SCHOOL ID</v>
      </c>
      <c r="D13" t="str">
        <v>:</v>
      </c>
      <c r="J13">
        <v>3</v>
      </c>
      <c r="M13">
        <v>3</v>
      </c>
    </row>
    <row r="14" ht="13.5" customHeight="1">
      <c r="C14" t="str">
        <v>SCHOOL NAME</v>
      </c>
      <c r="D14" t="str">
        <v>:</v>
      </c>
      <c r="J14">
        <v>4</v>
      </c>
      <c r="M14">
        <v>4</v>
      </c>
    </row>
    <row r="15" ht="13.5" customHeight="1">
      <c r="C15" t="str">
        <v>SCHOOL YEAR</v>
      </c>
      <c r="D15" t="str">
        <v>:</v>
      </c>
      <c r="J15">
        <v>5</v>
      </c>
      <c r="M15">
        <v>5</v>
      </c>
    </row>
    <row r="16" ht="13.5" customHeight="1">
      <c r="C16" t="str">
        <v>SCHOOL HEAD</v>
      </c>
      <c r="D16" t="str">
        <v>:</v>
      </c>
      <c r="J16">
        <v>6</v>
      </c>
      <c r="M16">
        <v>6</v>
      </c>
    </row>
    <row r="17" ht="14.25" customHeight="1">
      <c r="J17">
        <v>7</v>
      </c>
      <c r="M17">
        <v>7</v>
      </c>
    </row>
    <row r="18" ht="13.5" customHeight="1">
      <c r="J18">
        <v>8</v>
      </c>
      <c r="M18">
        <v>8</v>
      </c>
    </row>
    <row r="19" ht="14.25" customHeight="1">
      <c r="J19">
        <v>9</v>
      </c>
      <c r="M19">
        <v>9</v>
      </c>
    </row>
    <row r="20" ht="13.5" customHeight="1">
      <c r="B20" t="str">
        <v>TEACHER, GRADE LEVEL, SECTION INFORMATION</v>
      </c>
      <c r="J20">
        <v>10</v>
      </c>
      <c r="M20">
        <v>10</v>
      </c>
    </row>
    <row r="21" ht="13.5" customHeight="1">
      <c r="J21">
        <v>11</v>
      </c>
      <c r="M21">
        <v>11</v>
      </c>
    </row>
    <row r="22" ht="13.5" customHeight="1">
      <c r="J22">
        <v>12</v>
      </c>
      <c r="M22">
        <v>12</v>
      </c>
    </row>
    <row r="23" ht="13.5" customHeight="1">
      <c r="C23" t="str">
        <v>SUBJECT TEACHER</v>
      </c>
      <c r="D23" t="str">
        <v>:</v>
      </c>
      <c r="J23">
        <v>13</v>
      </c>
      <c r="M23">
        <v>13</v>
      </c>
    </row>
    <row r="24" ht="13.5" customHeight="1">
      <c r="C24" t="str">
        <v>SUBJECT</v>
      </c>
      <c r="D24" t="str">
        <v>:</v>
      </c>
      <c r="J24">
        <v>14</v>
      </c>
      <c r="M24">
        <v>14</v>
      </c>
    </row>
    <row r="25" ht="15.75" customHeight="1">
      <c r="C25" t="str">
        <v>GRADE LEVEL</v>
      </c>
      <c r="D25" t="str">
        <v>:</v>
      </c>
      <c r="J25">
        <v>15</v>
      </c>
      <c r="M25">
        <v>15</v>
      </c>
    </row>
    <row r="26" ht="13.5" customHeight="1">
      <c r="C26" t="str">
        <v>SECTION</v>
      </c>
      <c r="D26" t="str">
        <v>:</v>
      </c>
      <c r="J26">
        <v>16</v>
      </c>
      <c r="M26">
        <v>16</v>
      </c>
    </row>
    <row r="27" ht="13.5" customHeight="1">
      <c r="J27">
        <v>17</v>
      </c>
      <c r="M27">
        <v>17</v>
      </c>
    </row>
    <row r="28" ht="13.5" customHeight="1">
      <c r="C28" t="str">
        <v>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v>
      </c>
      <c r="J28">
        <v>18</v>
      </c>
      <c r="M28">
        <v>18</v>
      </c>
    </row>
    <row r="29" ht="13.5" customHeight="1">
      <c r="J29">
        <v>19</v>
      </c>
      <c r="M29">
        <v>19</v>
      </c>
    </row>
    <row r="30" ht="13.5" customHeight="1">
      <c r="J30">
        <v>20</v>
      </c>
      <c r="M30">
        <v>20</v>
      </c>
    </row>
    <row r="31" ht="13.5" customHeight="1">
      <c r="J31">
        <v>21</v>
      </c>
      <c r="M31">
        <v>21</v>
      </c>
    </row>
    <row r="32" ht="14.25" customHeight="1">
      <c r="J32">
        <v>22</v>
      </c>
      <c r="M32">
        <v>22</v>
      </c>
    </row>
    <row r="33" ht="13.5" customHeight="1">
      <c r="J33">
        <v>23</v>
      </c>
      <c r="M33">
        <v>23</v>
      </c>
    </row>
    <row r="34" ht="13.5" customHeight="1">
      <c r="J34">
        <v>24</v>
      </c>
      <c r="M34">
        <v>24</v>
      </c>
    </row>
    <row r="35" ht="13.5" customHeight="1">
      <c r="J35">
        <v>25</v>
      </c>
      <c r="M35">
        <v>25</v>
      </c>
    </row>
    <row r="36" ht="13.5" customHeight="1">
      <c r="B36" t="str">
        <v>Sheet protection is not copied into E-Class Record.</v>
      </c>
      <c r="J36">
        <v>26</v>
      </c>
      <c r="M36">
        <v>26</v>
      </c>
    </row>
    <row r="37" ht="13.5" customHeight="1">
      <c r="J37">
        <v>27</v>
      </c>
      <c r="M37">
        <v>27</v>
      </c>
    </row>
    <row r="38" ht="13.5" customHeight="1">
      <c r="J38">
        <v>28</v>
      </c>
      <c r="M38">
        <v>28</v>
      </c>
    </row>
    <row r="39" ht="13.5" customHeight="1">
      <c r="J39">
        <v>29</v>
      </c>
      <c r="M39">
        <v>29</v>
      </c>
    </row>
    <row r="40" ht="13.5" customHeight="1">
      <c r="J40">
        <v>30</v>
      </c>
      <c r="M40">
        <v>30</v>
      </c>
    </row>
    <row r="41" ht="13.5" customHeight="1">
      <c r="J41">
        <v>31</v>
      </c>
      <c r="M41">
        <v>31</v>
      </c>
    </row>
    <row r="42" ht="13.5" customHeight="1">
      <c r="J42">
        <v>32</v>
      </c>
      <c r="M42">
        <v>32</v>
      </c>
    </row>
    <row r="43" ht="13.5" customHeight="1">
      <c r="J43">
        <v>33</v>
      </c>
      <c r="M43">
        <v>33</v>
      </c>
    </row>
    <row r="44" ht="13.5" customHeight="1">
      <c r="J44">
        <v>34</v>
      </c>
      <c r="M44">
        <v>34</v>
      </c>
    </row>
    <row r="45" ht="13.5" customHeight="1">
      <c r="J45">
        <v>35</v>
      </c>
      <c r="M45">
        <v>35</v>
      </c>
    </row>
    <row r="46" ht="13.5" customHeight="1">
      <c r="J46">
        <v>36</v>
      </c>
      <c r="M46">
        <v>36</v>
      </c>
    </row>
    <row r="47" ht="13.5" customHeight="1">
      <c r="J47">
        <v>37</v>
      </c>
      <c r="M47">
        <v>37</v>
      </c>
    </row>
    <row r="48" ht="13.5" customHeight="1">
      <c r="J48">
        <v>38</v>
      </c>
      <c r="M48">
        <v>38</v>
      </c>
    </row>
    <row r="49" ht="13.5" customHeight="1">
      <c r="J49">
        <v>39</v>
      </c>
      <c r="M49">
        <v>39</v>
      </c>
    </row>
    <row r="50" ht="13.5" customHeight="1">
      <c r="J50">
        <v>40</v>
      </c>
      <c r="M50">
        <v>40</v>
      </c>
    </row>
    <row r="51" ht="13.5" customHeight="1">
      <c r="J51">
        <v>41</v>
      </c>
      <c r="M51">
        <v>41</v>
      </c>
    </row>
    <row r="52" ht="13.5" customHeight="1">
      <c r="J52">
        <v>42</v>
      </c>
      <c r="M52">
        <v>42</v>
      </c>
    </row>
    <row r="53" ht="13.5" customHeight="1">
      <c r="J53">
        <v>43</v>
      </c>
      <c r="M53">
        <v>43</v>
      </c>
    </row>
    <row r="54" ht="13.5" customHeight="1">
      <c r="J54">
        <v>44</v>
      </c>
      <c r="M54">
        <v>44</v>
      </c>
    </row>
    <row r="55" ht="13.5" customHeight="1">
      <c r="J55">
        <v>45</v>
      </c>
      <c r="M55">
        <v>45</v>
      </c>
    </row>
    <row r="56" ht="13.5" customHeight="1">
      <c r="J56">
        <v>46</v>
      </c>
      <c r="M56">
        <v>46</v>
      </c>
    </row>
    <row r="57" ht="13.5" customHeight="1">
      <c r="J57">
        <v>47</v>
      </c>
      <c r="M57">
        <v>47</v>
      </c>
    </row>
    <row r="58" ht="13.5" customHeight="1">
      <c r="J58">
        <v>48</v>
      </c>
      <c r="M58">
        <v>48</v>
      </c>
    </row>
    <row r="59" ht="13.5" customHeight="1">
      <c r="J59">
        <v>49</v>
      </c>
      <c r="M59">
        <v>49</v>
      </c>
    </row>
    <row r="60" ht="13.5" customHeight="1">
      <c r="J60">
        <v>50</v>
      </c>
      <c r="M60">
        <v>50</v>
      </c>
    </row>
    <row r="61" ht="13.5" customHeight="1"/>
    <row r="62" ht="12.75" customHeight="1">
      <c r="O62" t="str">
        <v>2026_v1.0</v>
      </c>
    </row>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pageMargins left="0.7" right="0.7" top="0.75" bottom="0.75" header="0" footer="0"/>
  <ignoredErrors>
    <ignoredError numberStoredAsText="1" sqref="A1:Z1000"/>
  </ignoredErrors>
</worksheet>
</file>

<file path=xl/worksheets/sheet2.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FIRST TERM</v>
      </c>
      <c r="F10" t="str">
        <v>GRADE LEVEL</v>
      </c>
      <c r="J10" t="str">
        <f>IF('INPUT DATA'!E25="","",'INPUT DATA'!E25)</f>
        <v/>
      </c>
      <c r="N10" t="str">
        <v>TEACHER</v>
      </c>
      <c r="Q10" t="str">
        <f>IF('INPUT DATA'!E23="","",'INPUT DATA'!E23)</f>
        <v/>
      </c>
      <c r="Y10" t="str">
        <v>SUBJECT</v>
      </c>
      <c r="AA10" t="str">
        <f>IF('INPUT DATA'!E24="","",'INPUT DATA'!E24)</f>
        <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 t="array" ref="AD18">IF(AC18="","",IFERROR(INDEX(HELPER!$G$8:$G$48,MATCH(AC18,HELPER!$F$8:$F$48,-1)),""))</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 t="array" ref="AD19">IF(AC19="","",IFERROR(INDEX(HELPER!$G$8:$G$48,MATCH(AC19,HELPER!$F$8:$F$48,-1)),""))</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 t="array" ref="AD20">IF(AC20="","",IFERROR(INDEX(HELPER!$G$8:$G$48,MATCH(AC20,HELPER!$F$8:$F$48,-1)),""))</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 t="array" ref="AD21">IF(AC21="","",IFERROR(INDEX(HELPER!$G$8:$G$48,MATCH(AC21,HELPER!$F$8:$F$48,-1)),""))</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 t="array" ref="AD22">IF(AC22="","",IFERROR(INDEX(HELPER!$G$8:$G$48,MATCH(AC22,HELPER!$F$8:$F$48,-1)),""))</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 t="array" ref="AD23">IF(AC23="","",IFERROR(INDEX(HELPER!$G$8:$G$48,MATCH(AC23,HELPER!$F$8:$F$48,-1)),""))</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 t="array" ref="AD24">IF(AC24="","",IFERROR(INDEX(HELPER!$G$8:$G$48,MATCH(AC24,HELPER!$F$8:$F$48,-1)),""))</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 t="array" ref="AD25">IF(AC25="","",IFERROR(INDEX(HELPER!$G$8:$G$48,MATCH(AC25,HELPER!$F$8:$F$48,-1)),""))</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 t="array" ref="AD26">IF(AC26="","",IFERROR(INDEX(HELPER!$G$8:$G$48,MATCH(AC26,HELPER!$F$8:$F$48,-1)),""))</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 t="array" ref="AD27">IF(AC27="","",IFERROR(INDEX(HELPER!$G$8:$G$48,MATCH(AC27,HELPER!$F$8:$F$48,-1)),""))</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 t="array" ref="AD28">IF(AC28="","",IFERROR(INDEX(HELPER!$G$8:$G$48,MATCH(AC28,HELPER!$F$8:$F$48,-1)),""))</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 t="array" ref="AD29">IF(AC29="","",IFERROR(INDEX(HELPER!$G$8:$G$48,MATCH(AC29,HELPER!$F$8:$F$48,-1)),""))</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 t="array" ref="AD30">IF(AC30="","",IFERROR(INDEX(HELPER!$G$8:$G$48,MATCH(AC30,HELPER!$F$8:$F$48,-1)),""))</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 t="array" ref="AD31">IF(AC31="","",IFERROR(INDEX(HELPER!$G$8:$G$48,MATCH(AC31,HELPER!$F$8:$F$48,-1)),""))</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 t="array" ref="AD32">IF(AC32="","",IFERROR(INDEX(HELPER!$G$8:$G$48,MATCH(AC32,HELPER!$F$8:$F$48,-1)),""))</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 t="array" ref="AD33">IF(AC33="","",IFERROR(INDEX(HELPER!$G$8:$G$48,MATCH(AC33,HELPER!$F$8:$F$48,-1)),""))</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 t="array" ref="AD34">IF(AC34="","",IFERROR(INDEX(HELPER!$G$8:$G$48,MATCH(AC34,HELPER!$F$8:$F$48,-1)),""))</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 t="array" ref="AD35">IF(AC35="","",IFERROR(INDEX(HELPER!$G$8:$G$48,MATCH(AC35,HELPER!$F$8:$F$48,-1)),""))</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 t="array" ref="AD36">IF(AC36="","",IFERROR(INDEX(HELPER!$G$8:$G$48,MATCH(AC36,HELPER!$F$8:$F$48,-1)),""))</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 t="array" ref="AD37">IF(AC37="","",IFERROR(INDEX(HELPER!$G$8:$G$48,MATCH(AC37,HELPER!$F$8:$F$48,-1)),""))</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 t="array" ref="AD38">IF(AC38="","",IFERROR(INDEX(HELPER!$G$8:$G$48,MATCH(AC38,HELPER!$F$8:$F$48,-1)),""))</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 t="array" ref="AD39">IF(AC39="","",IFERROR(INDEX(HELPER!$G$8:$G$48,MATCH(AC39,HELPER!$F$8:$F$48,-1)),""))</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 t="array" ref="AD40">IF(AC40="","",IFERROR(INDEX(HELPER!$G$8:$G$48,MATCH(AC40,HELPER!$F$8:$F$48,-1)),""))</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 t="array" ref="AD41">IF(AC41="","",IFERROR(INDEX(HELPER!$G$8:$G$48,MATCH(AC41,HELPER!$F$8:$F$48,-1)),""))</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 t="array" ref="AD42">IF(AC42="","",IFERROR(INDEX(HELPER!$G$8:$G$48,MATCH(AC42,HELPER!$F$8:$F$48,-1)),""))</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 t="array" ref="AD43">IF(AC43="","",IFERROR(INDEX(HELPER!$G$8:$G$48,MATCH(AC43,HELPER!$F$8:$F$48,-1)),""))</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 t="array" ref="AD44">IF(AC44="","",IFERROR(INDEX(HELPER!$G$8:$G$48,MATCH(AC44,HELPER!$F$8:$F$48,-1)),""))</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 t="array" ref="AD45">IF(AC45="","",IFERROR(INDEX(HELPER!$G$8:$G$48,MATCH(AC45,HELPER!$F$8:$F$48,-1)),""))</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 t="array" ref="AD46">IF(AC46="","",IFERROR(INDEX(HELPER!$G$8:$G$48,MATCH(AC46,HELPER!$F$8:$F$48,-1)),""))</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 t="array" ref="AD47">IF(AC47="","",IFERROR(INDEX(HELPER!$G$8:$G$48,MATCH(AC47,HELPER!$F$8:$F$48,-1)),""))</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 t="array" ref="AD48">IF(AC48="","",IFERROR(INDEX(HELPER!$G$8:$G$48,MATCH(AC48,HELPER!$F$8:$F$48,-1)),""))</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 t="array" ref="AD49">IF(AC49="","",IFERROR(INDEX(HELPER!$G$8:$G$48,MATCH(AC49,HELPER!$F$8:$F$48,-1)),""))</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 t="array" ref="AD50">IF(AC50="","",IFERROR(INDEX(HELPER!$G$8:$G$48,MATCH(AC50,HELPER!$F$8:$F$48,-1)),""))</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 t="array" ref="AD51">IF(AC51="","",IFERROR(INDEX(HELPER!$G$8:$G$48,MATCH(AC51,HELPER!$F$8:$F$48,-1)),""))</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 t="array" ref="AD52">IF(AC52="","",IFERROR(INDEX(HELPER!$G$8:$G$48,MATCH(AC52,HELPER!$F$8:$F$48,-1)),""))</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 t="array" ref="AD53">IF(AC53="","",IFERROR(INDEX(HELPER!$G$8:$G$48,MATCH(AC53,HELPER!$F$8:$F$48,-1)),""))</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 t="array" ref="AD54">IF(AC54="","",IFERROR(INDEX(HELPER!$G$8:$G$48,MATCH(AC54,HELPER!$F$8:$F$48,-1)),""))</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 t="array" ref="AD55">IF(AC55="","",IFERROR(INDEX(HELPER!$G$8:$G$48,MATCH(AC55,HELPER!$F$8:$F$48,-1)),""))</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 t="array" ref="AD56">IF(AC56="","",IFERROR(INDEX(HELPER!$G$8:$G$48,MATCH(AC56,HELPER!$F$8:$F$48,-1)),""))</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 t="array" ref="AD57">IF(AC57="","",IFERROR(INDEX(HELPER!$G$8:$G$48,MATCH(AC57,HELPER!$F$8:$F$48,-1)),""))</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 t="array" ref="AD58">IF(AC58="","",IFERROR(INDEX(HELPER!$G$8:$G$48,MATCH(AC58,HELPER!$F$8:$F$48,-1)),""))</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IF(AB59="","",IFERROR(INDEX(HELPER!$D$8:$D$48,IFERROR(MATCH(AB59,HELPER!$B$8:$B$48,0),MATCH(AB59,HELPER!$B$8:$B$48,-1)+1)),""))</f>
        <v/>
      </c>
      <c r="AD59" t="str">
        <f t="array" ref="AD59">IF(AC59="","",IFERROR(INDEX(HELPER!$G$8:$G$48,MATCH(AC59,HELPER!$F$8:$F$48,-1)),""))</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IF(AB60="","",IFERROR(INDEX(HELPER!$D$8:$D$48,IFERROR(MATCH(AB60,HELPER!$B$8:$B$48,0),MATCH(AB60,HELPER!$B$8:$B$48,-1)+1)),""))</f>
        <v/>
      </c>
      <c r="AD60" t="str">
        <f t="array" ref="AD60">IF(AC60="","",IFERROR(INDEX(HELPER!$G$8:$G$48,MATCH(AC60,HELPER!$F$8:$F$48,-1)),""))</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IF(AB61="","",IFERROR(INDEX(HELPER!$D$8:$D$48,IFERROR(MATCH(AB61,HELPER!$B$8:$B$48,0),MATCH(AB61,HELPER!$B$8:$B$48,-1)+1)),""))</f>
        <v/>
      </c>
      <c r="AD61" t="str">
        <f t="array" ref="AD61">IF(AC61="","",IFERROR(INDEX(HELPER!$G$8:$G$48,MATCH(AC61,HELPER!$F$8:$F$48,-1)),""))</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IF(AB62="","",IFERROR(INDEX(HELPER!$D$8:$D$48,IFERROR(MATCH(AB62,HELPER!$B$8:$B$48,0),MATCH(AB62,HELPER!$B$8:$B$48,-1)+1)),""))</f>
        <v/>
      </c>
      <c r="AD62" t="str">
        <f t="array" ref="AD62">IF(AC62="","",IFERROR(INDEX(HELPER!$G$8:$G$48,MATCH(AC62,HELPER!$F$8:$F$48,-1)),""))</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IF(AB63="","",IFERROR(INDEX(HELPER!$D$8:$D$48,IFERROR(MATCH(AB63,HELPER!$B$8:$B$48,0),MATCH(AB63,HELPER!$B$8:$B$48,-1)+1)),""))</f>
        <v/>
      </c>
      <c r="AD63" t="str">
        <f t="array" ref="AD63">IF(AC63="","",IFERROR(INDEX(HELPER!$G$8:$G$48,MATCH(AC63,HELPER!$F$8:$F$48,-1)),""))</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IF(AB64="","",IFERROR(INDEX(HELPER!$D$8:$D$48,IFERROR(MATCH(AB64,HELPER!$B$8:$B$48,0),MATCH(AB64,HELPER!$B$8:$B$48,-1)+1)),""))</f>
        <v/>
      </c>
      <c r="AD64" t="str">
        <f t="array" ref="AD64">IF(AC64="","",IFERROR(INDEX(HELPER!$G$8:$G$48,MATCH(AC64,HELPER!$F$8:$F$48,-1)),""))</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IF(AB65="","",IFERROR(INDEX(HELPER!$D$8:$D$48,IFERROR(MATCH(AB65,HELPER!$B$8:$B$48,0),MATCH(AB65,HELPER!$B$8:$B$48,-1)+1)),""))</f>
        <v/>
      </c>
      <c r="AD65" t="str">
        <f t="array" ref="AD65">IF(AC65="","",IFERROR(INDEX(HELPER!$G$8:$G$48,MATCH(AC65,HELPER!$F$8:$F$48,-1)),""))</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IF(AB66="","",IFERROR(INDEX(HELPER!$D$8:$D$48,IFERROR(MATCH(AB66,HELPER!$B$8:$B$48,0),MATCH(AB66,HELPER!$B$8:$B$48,-1)+1)),""))</f>
        <v/>
      </c>
      <c r="AD66" t="str">
        <f t="array" ref="AD66">IF(AC66="","",IFERROR(INDEX(HELPER!$G$8:$G$48,MATCH(AC66,HELPER!$F$8:$F$48,-1)),""))</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IF(AB67="","",IFERROR(INDEX(HELPER!$D$8:$D$48,IFERROR(MATCH(AB67,HELPER!$B$8:$B$48,0),MATCH(AB67,HELPER!$B$8:$B$48,-1)+1)),""))</f>
        <v/>
      </c>
      <c r="AD67" t="str">
        <f t="array" ref="AD67">IF(AC67="","",IFERROR(INDEX(HELPER!$G$8:$G$48,MATCH(AC67,HELPER!$F$8:$F$48,-1)),""))</f>
        <v/>
      </c>
    </row>
    <row r="68" ht="14.2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IF(AB69="","",IFERROR(INDEX(HELPER!$D$8:$D$48,IFERROR(MATCH(AB69,HELPER!$B$8:$B$48,0),MATCH(AB69,HELPER!$B$8:$B$48,-1)+1)),""))</f>
        <v/>
      </c>
      <c r="AD69" t="str">
        <f t="array" ref="AD69">IF(AC69="","",IFERROR(INDEX(HELPER!$G$8:$G$48,MATCH(AC69,HELPER!$F$8:$F$48,-1)),""))</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IF(AB70="","",IFERROR(INDEX(HELPER!$D$8:$D$48,IFERROR(MATCH(AB70,HELPER!$B$8:$B$48,0),MATCH(AB70,HELPER!$B$8:$B$48,-1)+1)),""))</f>
        <v/>
      </c>
      <c r="AD70" t="str">
        <f t="array" ref="AD70">IF(AC70="","",IFERROR(INDEX(HELPER!$G$8:$G$48,MATCH(AC70,HELPER!$F$8:$F$48,-1)),""))</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IF(AB71="","",IFERROR(INDEX(HELPER!$D$8:$D$48,IFERROR(MATCH(AB71,HELPER!$B$8:$B$48,0),MATCH(AB71,HELPER!$B$8:$B$48,-1)+1)),""))</f>
        <v/>
      </c>
      <c r="AD71" t="str">
        <f t="array" ref="AD71">IF(AC71="","",IFERROR(INDEX(HELPER!$G$8:$G$48,MATCH(AC71,HELPER!$F$8:$F$48,-1)),""))</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IF(AB72="","",IFERROR(INDEX(HELPER!$D$8:$D$48,IFERROR(MATCH(AB72,HELPER!$B$8:$B$48,0),MATCH(AB72,HELPER!$B$8:$B$48,-1)+1)),""))</f>
        <v/>
      </c>
      <c r="AD72" t="str">
        <f t="array" ref="AD72">IF(AC72="","",IFERROR(INDEX(HELPER!$G$8:$G$48,MATCH(AC72,HELPER!$F$8:$F$48,-1)),""))</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IF(AB73="","",IFERROR(INDEX(HELPER!$D$8:$D$48,IFERROR(MATCH(AB73,HELPER!$B$8:$B$48,0),MATCH(AB73,HELPER!$B$8:$B$48,-1)+1)),""))</f>
        <v/>
      </c>
      <c r="AD73" t="str">
        <f t="array" ref="AD73">IF(AC73="","",IFERROR(INDEX(HELPER!$G$8:$G$48,MATCH(AC73,HELPER!$F$8:$F$48,-1)),""))</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IF(AB74="","",IFERROR(INDEX(HELPER!$D$8:$D$48,IFERROR(MATCH(AB74,HELPER!$B$8:$B$48,0),MATCH(AB74,HELPER!$B$8:$B$48,-1)+1)),""))</f>
        <v/>
      </c>
      <c r="AD74" t="str">
        <f t="array" ref="AD74">IF(AC74="","",IFERROR(INDEX(HELPER!$G$8:$G$48,MATCH(AC74,HELPER!$F$8:$F$48,-1)),""))</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IF(AB75="","",IFERROR(INDEX(HELPER!$D$8:$D$48,IFERROR(MATCH(AB75,HELPER!$B$8:$B$48,0),MATCH(AB75,HELPER!$B$8:$B$48,-1)+1)),""))</f>
        <v/>
      </c>
      <c r="AD75" t="str">
        <f t="array" ref="AD75">IF(AC75="","",IFERROR(INDEX(HELPER!$G$8:$G$48,MATCH(AC75,HELPER!$F$8:$F$48,-1)),""))</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IF(AB76="","",IFERROR(INDEX(HELPER!$D$8:$D$48,IFERROR(MATCH(AB76,HELPER!$B$8:$B$48,0),MATCH(AB76,HELPER!$B$8:$B$48,-1)+1)),""))</f>
        <v/>
      </c>
      <c r="AD76" t="str">
        <f t="array" ref="AD76">IF(AC76="","",IFERROR(INDEX(HELPER!$G$8:$G$48,MATCH(AC76,HELPER!$F$8:$F$48,-1)),""))</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IF(AB77="","",IFERROR(INDEX(HELPER!$D$8:$D$48,IFERROR(MATCH(AB77,HELPER!$B$8:$B$48,0),MATCH(AB77,HELPER!$B$8:$B$48,-1)+1)),""))</f>
        <v/>
      </c>
      <c r="AD77" t="str">
        <f t="array" ref="AD77">IF(AC77="","",IFERROR(INDEX(HELPER!$G$8:$G$48,MATCH(AC77,HELPER!$F$8:$F$48,-1)),""))</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IF(AB78="","",IFERROR(INDEX(HELPER!$D$8:$D$48,IFERROR(MATCH(AB78,HELPER!$B$8:$B$48,0),MATCH(AB78,HELPER!$B$8:$B$48,-1)+1)),""))</f>
        <v/>
      </c>
      <c r="AD78" t="str">
        <f t="array" ref="AD78">IF(AC78="","",IFERROR(INDEX(HELPER!$G$8:$G$48,MATCH(AC78,HELPER!$F$8:$F$48,-1)),""))</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IF(AB79="","",IFERROR(INDEX(HELPER!$D$8:$D$48,IFERROR(MATCH(AB79,HELPER!$B$8:$B$48,0),MATCH(AB79,HELPER!$B$8:$B$48,-1)+1)),""))</f>
        <v/>
      </c>
      <c r="AD79" t="str">
        <f t="array" ref="AD79">IF(AC79="","",IFERROR(INDEX(HELPER!$G$8:$G$48,MATCH(AC79,HELPER!$F$8:$F$48,-1)),""))</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IF(AB80="","",IFERROR(INDEX(HELPER!$D$8:$D$48,IFERROR(MATCH(AB80,HELPER!$B$8:$B$48,0),MATCH(AB80,HELPER!$B$8:$B$48,-1)+1)),""))</f>
        <v/>
      </c>
      <c r="AD80" t="str">
        <f t="array" ref="AD80">IF(AC80="","",IFERROR(INDEX(HELPER!$G$8:$G$48,MATCH(AC80,HELPER!$F$8:$F$48,-1)),""))</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IF(AB81="","",IFERROR(INDEX(HELPER!$D$8:$D$48,IFERROR(MATCH(AB81,HELPER!$B$8:$B$48,0),MATCH(AB81,HELPER!$B$8:$B$48,-1)+1)),""))</f>
        <v/>
      </c>
      <c r="AD81" t="str">
        <f t="array" ref="AD81">IF(AC81="","",IFERROR(INDEX(HELPER!$G$8:$G$48,MATCH(AC81,HELPER!$F$8:$F$48,-1)),""))</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IF(AB82="","",IFERROR(INDEX(HELPER!$D$8:$D$48,IFERROR(MATCH(AB82,HELPER!$B$8:$B$48,0),MATCH(AB82,HELPER!$B$8:$B$48,-1)+1)),""))</f>
        <v/>
      </c>
      <c r="AD82" t="str">
        <f t="array" ref="AD82">IF(AC82="","",IFERROR(INDEX(HELPER!$G$8:$G$48,MATCH(AC82,HELPER!$F$8:$F$48,-1)),""))</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IF(AB83="","",IFERROR(INDEX(HELPER!$D$8:$D$48,IFERROR(MATCH(AB83,HELPER!$B$8:$B$48,0),MATCH(AB83,HELPER!$B$8:$B$48,-1)+1)),""))</f>
        <v/>
      </c>
      <c r="AD83" t="str">
        <f t="array" ref="AD83">IF(AC83="","",IFERROR(INDEX(HELPER!$G$8:$G$48,MATCH(AC83,HELPER!$F$8:$F$48,-1)),""))</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IF(AB84="","",IFERROR(INDEX(HELPER!$D$8:$D$48,IFERROR(MATCH(AB84,HELPER!$B$8:$B$48,0),MATCH(AB84,HELPER!$B$8:$B$48,-1)+1)),""))</f>
        <v/>
      </c>
      <c r="AD84" t="str">
        <f t="array" ref="AD84">IF(AC84="","",IFERROR(INDEX(HELPER!$G$8:$G$48,MATCH(AC84,HELPER!$F$8:$F$48,-1)),""))</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IF(AB85="","",IFERROR(INDEX(HELPER!$D$8:$D$48,IFERROR(MATCH(AB85,HELPER!$B$8:$B$48,0),MATCH(AB85,HELPER!$B$8:$B$48,-1)+1)),""))</f>
        <v/>
      </c>
      <c r="AD85" t="str">
        <f t="array" ref="AD85">IF(AC85="","",IFERROR(INDEX(HELPER!$G$8:$G$48,MATCH(AC85,HELPER!$F$8:$F$48,-1)),""))</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IF(AB86="","",IFERROR(INDEX(HELPER!$D$8:$D$48,IFERROR(MATCH(AB86,HELPER!$B$8:$B$48,0),MATCH(AB86,HELPER!$B$8:$B$48,-1)+1)),""))</f>
        <v/>
      </c>
      <c r="AD86" t="str">
        <f t="array" ref="AD86">IF(AC86="","",IFERROR(INDEX(HELPER!$G$8:$G$48,MATCH(AC86,HELPER!$F$8:$F$48,-1)),""))</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IF(AB87="","",IFERROR(INDEX(HELPER!$D$8:$D$48,IFERROR(MATCH(AB87,HELPER!$B$8:$B$48,0),MATCH(AB87,HELPER!$B$8:$B$48,-1)+1)),""))</f>
        <v/>
      </c>
      <c r="AD87" t="str">
        <f t="array" ref="AD87">IF(AC87="","",IFERROR(INDEX(HELPER!$G$8:$G$48,MATCH(AC87,HELPER!$F$8:$F$48,-1)),""))</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IF(AB88="","",IFERROR(INDEX(HELPER!$D$8:$D$48,IFERROR(MATCH(AB88,HELPER!$B$8:$B$48,0),MATCH(AB88,HELPER!$B$8:$B$48,-1)+1)),""))</f>
        <v/>
      </c>
      <c r="AD88" t="str">
        <f t="array" ref="AD88">IF(AC88="","",IFERROR(INDEX(HELPER!$G$8:$G$48,MATCH(AC88,HELPER!$F$8:$F$48,-1)),""))</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IF(AB89="","",IFERROR(INDEX(HELPER!$D$8:$D$48,IFERROR(MATCH(AB89,HELPER!$B$8:$B$48,0),MATCH(AB89,HELPER!$B$8:$B$48,-1)+1)),""))</f>
        <v/>
      </c>
      <c r="AD89" t="str">
        <f t="array" ref="AD89">IF(AC89="","",IFERROR(INDEX(HELPER!$G$8:$G$48,MATCH(AC89,HELPER!$F$8:$F$48,-1)),""))</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IF(AB90="","",IFERROR(INDEX(HELPER!$D$8:$D$48,IFERROR(MATCH(AB90,HELPER!$B$8:$B$48,0),MATCH(AB90,HELPER!$B$8:$B$48,-1)+1)),""))</f>
        <v/>
      </c>
      <c r="AD90" t="str">
        <f t="array" ref="AD90">IF(AC90="","",IFERROR(INDEX(HELPER!$G$8:$G$48,MATCH(AC90,HELPER!$F$8:$F$48,-1)),""))</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IF(AB91="","",IFERROR(INDEX(HELPER!$D$8:$D$48,IFERROR(MATCH(AB91,HELPER!$B$8:$B$48,0),MATCH(AB91,HELPER!$B$8:$B$48,-1)+1)),""))</f>
        <v/>
      </c>
      <c r="AD91" t="str">
        <f t="array" ref="AD91">IF(AC91="","",IFERROR(INDEX(HELPER!$G$8:$G$48,MATCH(AC91,HELPER!$F$8:$F$48,-1)),""))</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IF(AB92="","",IFERROR(INDEX(HELPER!$D$8:$D$48,IFERROR(MATCH(AB92,HELPER!$B$8:$B$48,0),MATCH(AB92,HELPER!$B$8:$B$48,-1)+1)),""))</f>
        <v/>
      </c>
      <c r="AD92" t="str">
        <f t="array" ref="AD92">IF(AC92="","",IFERROR(INDEX(HELPER!$G$8:$G$48,MATCH(AC92,HELPER!$F$8:$F$48,-1)),""))</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IF(AB93="","",IFERROR(INDEX(HELPER!$D$8:$D$48,IFERROR(MATCH(AB93,HELPER!$B$8:$B$48,0),MATCH(AB93,HELPER!$B$8:$B$48,-1)+1)),""))</f>
        <v/>
      </c>
      <c r="AD93" t="str">
        <f t="array" ref="AD93">IF(AC93="","",IFERROR(INDEX(HELPER!$G$8:$G$48,MATCH(AC93,HELPER!$F$8:$F$48,-1)),""))</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IF(AB94="","",IFERROR(INDEX(HELPER!$D$8:$D$48,IFERROR(MATCH(AB94,HELPER!$B$8:$B$48,0),MATCH(AB94,HELPER!$B$8:$B$48,-1)+1)),""))</f>
        <v/>
      </c>
      <c r="AD94" t="str">
        <f t="array" ref="AD94">IF(AC94="","",IFERROR(INDEX(HELPER!$G$8:$G$48,MATCH(AC94,HELPER!$F$8:$F$48,-1)),""))</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IF(AB95="","",IFERROR(INDEX(HELPER!$D$8:$D$48,IFERROR(MATCH(AB95,HELPER!$B$8:$B$48,0),MATCH(AB95,HELPER!$B$8:$B$48,-1)+1)),""))</f>
        <v/>
      </c>
      <c r="AD95" t="str">
        <f t="array" ref="AD95">IF(AC95="","",IFERROR(INDEX(HELPER!$G$8:$G$48,MATCH(AC95,HELPER!$F$8:$F$48,-1)),""))</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IF(AB96="","",IFERROR(INDEX(HELPER!$D$8:$D$48,IFERROR(MATCH(AB96,HELPER!$B$8:$B$48,0),MATCH(AB96,HELPER!$B$8:$B$48,-1)+1)),""))</f>
        <v/>
      </c>
      <c r="AD96" t="str">
        <f t="array" ref="AD96">IF(AC96="","",IFERROR(INDEX(HELPER!$G$8:$G$48,MATCH(AC96,HELPER!$F$8:$F$48,-1)),""))</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IF(AB97="","",IFERROR(INDEX(HELPER!$D$8:$D$48,IFERROR(MATCH(AB97,HELPER!$B$8:$B$48,0),MATCH(AB97,HELPER!$B$8:$B$48,-1)+1)),""))</f>
        <v/>
      </c>
      <c r="AD97" t="str">
        <f t="array" ref="AD97">IF(AC97="","",IFERROR(INDEX(HELPER!$G$8:$G$48,MATCH(AC97,HELPER!$F$8:$F$48,-1)),""))</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IF(AB98="","",IFERROR(INDEX(HELPER!$D$8:$D$48,IFERROR(MATCH(AB98,HELPER!$B$8:$B$48,0),MATCH(AB98,HELPER!$B$8:$B$48,-1)+1)),""))</f>
        <v/>
      </c>
      <c r="AD98" t="str">
        <f t="array" ref="AD98">IF(AC98="","",IFERROR(INDEX(HELPER!$G$8:$G$48,MATCH(AC98,HELPER!$F$8:$F$48,-1)),""))</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IF(AB99="","",IFERROR(INDEX(HELPER!$D$8:$D$48,IFERROR(MATCH(AB99,HELPER!$B$8:$B$48,0),MATCH(AB99,HELPER!$B$8:$B$48,-1)+1)),""))</f>
        <v/>
      </c>
      <c r="AD99" t="str">
        <f t="array" ref="AD99">IF(AC99="","",IFERROR(INDEX(HELPER!$G$8:$G$48,MATCH(AC99,HELPER!$F$8:$F$48,-1)),""))</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IF(AB100="","",IFERROR(INDEX(HELPER!$D$8:$D$48,IFERROR(MATCH(AB100,HELPER!$B$8:$B$48,0),MATCH(AB100,HELPER!$B$8:$B$48,-1)+1)),""))</f>
        <v/>
      </c>
      <c r="AD100" t="str">
        <f t="array" ref="AD100">IF(AC100="","",IFERROR(INDEX(HELPER!$G$8:$G$48,MATCH(AC100,HELPER!$F$8:$F$48,-1)),""))</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IF(AB101="","",IFERROR(INDEX(HELPER!$D$8:$D$48,IFERROR(MATCH(AB101,HELPER!$B$8:$B$48,0),MATCH(AB101,HELPER!$B$8:$B$48,-1)+1)),""))</f>
        <v/>
      </c>
      <c r="AD101" t="str">
        <f t="array" ref="AD101">IF(AC101="","",IFERROR(INDEX(HELPER!$G$8:$G$48,MATCH(AC101,HELPER!$F$8:$F$48,-1)),""))</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IF(AB102="","",IFERROR(INDEX(HELPER!$D$8:$D$48,IFERROR(MATCH(AB102,HELPER!$B$8:$B$48,0),MATCH(AB102,HELPER!$B$8:$B$48,-1)+1)),""))</f>
        <v/>
      </c>
      <c r="AD102" t="str">
        <f t="array" ref="AD102">IF(AC102="","",IFERROR(INDEX(HELPER!$G$8:$G$48,MATCH(AC102,HELPER!$F$8:$F$48,-1)),""))</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IF(AB103="","",IFERROR(INDEX(HELPER!$D$8:$D$48,IFERROR(MATCH(AB103,HELPER!$B$8:$B$48,0),MATCH(AB103,HELPER!$B$8:$B$48,-1)+1)),""))</f>
        <v/>
      </c>
      <c r="AD103" t="str">
        <f t="array" ref="AD103">IF(AC103="","",IFERROR(INDEX(HELPER!$G$8:$G$48,MATCH(AC103,HELPER!$F$8:$F$48,-1)),""))</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IF(AB104="","",IFERROR(INDEX(HELPER!$D$8:$D$48,IFERROR(MATCH(AB104,HELPER!$B$8:$B$48,0),MATCH(AB104,HELPER!$B$8:$B$48,-1)+1)),""))</f>
        <v/>
      </c>
      <c r="AD104" t="str">
        <f t="array" ref="AD104">IF(AC104="","",IFERROR(INDEX(HELPER!$G$8:$G$48,MATCH(AC104,HELPER!$F$8:$F$48,-1)),""))</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IF(AB105="","",IFERROR(INDEX(HELPER!$D$8:$D$48,IFERROR(MATCH(AB105,HELPER!$B$8:$B$48,0),MATCH(AB105,HELPER!$B$8:$B$48,-1)+1)),""))</f>
        <v/>
      </c>
      <c r="AD105" t="str">
        <f t="array" ref="AD105">IF(AC105="","",IFERROR(INDEX(HELPER!$G$8:$G$48,MATCH(AC105,HELPER!$F$8:$F$48,-1)),""))</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IF(AB106="","",IFERROR(INDEX(HELPER!$D$8:$D$48,IFERROR(MATCH(AB106,HELPER!$B$8:$B$48,0),MATCH(AB106,HELPER!$B$8:$B$48,-1)+1)),""))</f>
        <v/>
      </c>
      <c r="AD106" t="str">
        <f t="array" ref="AD106">IF(AC106="","",IFERROR(INDEX(HELPER!$G$8:$G$48,MATCH(AC106,HELPER!$F$8:$F$48,-1)),""))</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IF(AB107="","",IFERROR(INDEX(HELPER!$D$8:$D$48,IFERROR(MATCH(AB107,HELPER!$B$8:$B$48,0),MATCH(AB107,HELPER!$B$8:$B$48,-1)+1)),""))</f>
        <v/>
      </c>
      <c r="AD107" t="str">
        <f t="array" ref="AD107">IF(AC107="","",IFERROR(INDEX(HELPER!$G$8:$G$48,MATCH(AC107,HELPER!$F$8:$F$48,-1)),""))</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IF(AB108="","",IFERROR(INDEX(HELPER!$D$8:$D$48,IFERROR(MATCH(AB108,HELPER!$B$8:$B$48,0),MATCH(AB108,HELPER!$B$8:$B$48,-1)+1)),""))</f>
        <v/>
      </c>
      <c r="AD108" t="str">
        <f t="array" ref="AD108">IF(AC108="","",IFERROR(INDEX(HELPER!$G$8:$G$48,MATCH(AC108,HELPER!$F$8:$F$48,-1)),""))</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IF(AB109="","",IFERROR(INDEX(HELPER!$D$8:$D$48,IFERROR(MATCH(AB109,HELPER!$B$8:$B$48,0),MATCH(AB109,HELPER!$B$8:$B$48,-1)+1)),""))</f>
        <v/>
      </c>
      <c r="AD109" t="str">
        <f t="array" ref="AD109">IF(AC109="","",IFERROR(INDEX(HELPER!$G$8:$G$48,MATCH(AC109,HELPER!$F$8:$F$48,-1)),""))</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IF(AB110="","",IFERROR(INDEX(HELPER!$D$8:$D$48,IFERROR(MATCH(AB110,HELPER!$B$8:$B$48,0),MATCH(AB110,HELPER!$B$8:$B$48,-1)+1)),""))</f>
        <v/>
      </c>
      <c r="AD110" t="str">
        <f t="array" ref="AD110">IF(AC110="","",IFERROR(INDEX(HELPER!$G$8:$G$48,MATCH(AC110,HELPER!$F$8:$F$48,-1)),""))</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IF(AB111="","",IFERROR(INDEX(HELPER!$D$8:$D$48,IFERROR(MATCH(AB111,HELPER!$B$8:$B$48,0),MATCH(AB111,HELPER!$B$8:$B$48,-1)+1)),""))</f>
        <v/>
      </c>
      <c r="AD111" t="str">
        <f t="array" ref="AD111">IF(AC111="","",IFERROR(INDEX(HELPER!$G$8:$G$48,MATCH(AC111,HELPER!$F$8:$F$48,-1)),""))</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IF(AB112="","",IFERROR(INDEX(HELPER!$D$8:$D$48,IFERROR(MATCH(AB112,HELPER!$B$8:$B$48,0),MATCH(AB112,HELPER!$B$8:$B$48,-1)+1)),""))</f>
        <v/>
      </c>
      <c r="AD112" t="str">
        <f t="array" ref="AD112">IF(AC112="","",IFERROR(INDEX(HELPER!$G$8:$G$48,MATCH(AC112,HELPER!$F$8:$F$48,-1)),""))</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IF(AB113="","",IFERROR(INDEX(HELPER!$D$8:$D$48,IFERROR(MATCH(AB113,HELPER!$B$8:$B$48,0),MATCH(AB113,HELPER!$B$8:$B$48,-1)+1)),""))</f>
        <v/>
      </c>
      <c r="AD113" t="str">
        <f t="array" ref="AD113">IF(AC113="","",IFERROR(INDEX(HELPER!$G$8:$G$48,MATCH(AC113,HELPER!$F$8:$F$48,-1)),""))</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IF(AB114="","",IFERROR(INDEX(HELPER!$D$8:$D$48,IFERROR(MATCH(AB114,HELPER!$B$8:$B$48,0),MATCH(AB114,HELPER!$B$8:$B$48,-1)+1)),""))</f>
        <v/>
      </c>
      <c r="AD114" t="str">
        <f t="array" ref="AD114">IF(AC114="","",IFERROR(INDEX(HELPER!$G$8:$G$48,MATCH(AC114,HELPER!$F$8:$F$48,-1)),""))</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IF(AB115="","",IFERROR(INDEX(HELPER!$D$8:$D$48,IFERROR(MATCH(AB115,HELPER!$B$8:$B$48,0),MATCH(AB115,HELPER!$B$8:$B$48,-1)+1)),""))</f>
        <v/>
      </c>
      <c r="AD115" t="str">
        <f t="array" ref="AD115">IF(AC115="","",IFERROR(INDEX(HELPER!$G$8:$G$48,MATCH(AC115,HELPER!$F$8:$F$48,-1)),""))</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IF(AB116="","",IFERROR(INDEX(HELPER!$D$8:$D$48,IFERROR(MATCH(AB116,HELPER!$B$8:$B$48,0),MATCH(AB116,HELPER!$B$8:$B$48,-1)+1)),""))</f>
        <v/>
      </c>
      <c r="AD116" t="str">
        <f t="array" ref="AD116">IF(AC116="","",IFERROR(INDEX(HELPER!$G$8:$G$48,MATCH(AC116,HELPER!$F$8:$F$48,-1)),""))</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IF(AB117="","",IFERROR(INDEX(HELPER!$D$8:$D$48,IFERROR(MATCH(AB117,HELPER!$B$8:$B$48,0),MATCH(AB117,HELPER!$B$8:$B$48,-1)+1)),""))</f>
        <v/>
      </c>
      <c r="AD117" t="str">
        <f t="array" ref="AD117">IF(AC117="","",IFERROR(INDEX(HELPER!$G$8:$G$48,MATCH(AC117,HELPER!$F$8:$F$48,-1)),""))</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IF(AB118="","",IFERROR(INDEX(HELPER!$D$8:$D$48,IFERROR(MATCH(AB118,HELPER!$B$8:$B$48,0),MATCH(AB118,HELPER!$B$8:$B$48,-1)+1)),""))</f>
        <v/>
      </c>
      <c r="AD118" t="str">
        <f t="array" ref="AD118">IF(AC118="","",IFERROR(INDEX(HELPER!$G$8:$G$48,MATCH(AC118,HELPER!$F$8:$F$48,-1)),""))</f>
        <v/>
      </c>
    </row>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7" right="0.7" top="0.75" bottom="0.75" header="0" footer="0"/>
  <ignoredErrors>
    <ignoredError numberStoredAsText="1" sqref="A1:AF1000"/>
  </ignoredErrors>
</worksheet>
</file>

<file path=xl/worksheets/sheet3.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SECOND TERM</v>
      </c>
      <c r="F10" t="str">
        <v>GRADE LEVEL</v>
      </c>
      <c r="J10" t="str">
        <f>IF('INPUT DATA'!E25="","",'INPUT DATA'!E25)</f>
        <v/>
      </c>
      <c r="N10" t="str">
        <v>TEACHER</v>
      </c>
      <c r="Q10" t="str">
        <f>IF('INPUT DATA'!E23="","",'INPUT DATA'!E23)</f>
        <v/>
      </c>
      <c r="Y10" t="str">
        <v>SUBJECT</v>
      </c>
      <c r="AA10" t="str">
        <f>IF('INPUT DATA'!E24="","",'INPUT DATA'!E24)</f>
        <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 t="array" ref="AD18">IF(AC18="","",IFERROR(INDEX(HELPER!$G$8:$G$48,MATCH(AC18,HELPER!$F$8:$F$48,-1)),""))</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 t="array" ref="AD19">IF(AC19="","",IFERROR(INDEX(HELPER!$G$8:$G$48,MATCH(AC19,HELPER!$F$8:$F$48,-1)),""))</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 t="array" ref="AD20">IF(AC20="","",IFERROR(INDEX(HELPER!$G$8:$G$48,MATCH(AC20,HELPER!$F$8:$F$48,-1)),""))</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 t="array" ref="AD21">IF(AC21="","",IFERROR(INDEX(HELPER!$G$8:$G$48,MATCH(AC21,HELPER!$F$8:$F$48,-1)),""))</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 t="array" ref="AD22">IF(AC22="","",IFERROR(INDEX(HELPER!$G$8:$G$48,MATCH(AC22,HELPER!$F$8:$F$48,-1)),""))</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 t="array" ref="AD23">IF(AC23="","",IFERROR(INDEX(HELPER!$G$8:$G$48,MATCH(AC23,HELPER!$F$8:$F$48,-1)),""))</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 t="array" ref="AD24">IF(AC24="","",IFERROR(INDEX(HELPER!$G$8:$G$48,MATCH(AC24,HELPER!$F$8:$F$48,-1)),""))</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 t="array" ref="AD25">IF(AC25="","",IFERROR(INDEX(HELPER!$G$8:$G$48,MATCH(AC25,HELPER!$F$8:$F$48,-1)),""))</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 t="array" ref="AD26">IF(AC26="","",IFERROR(INDEX(HELPER!$G$8:$G$48,MATCH(AC26,HELPER!$F$8:$F$48,-1)),""))</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 t="array" ref="AD27">IF(AC27="","",IFERROR(INDEX(HELPER!$G$8:$G$48,MATCH(AC27,HELPER!$F$8:$F$48,-1)),""))</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 t="array" ref="AD28">IF(AC28="","",IFERROR(INDEX(HELPER!$G$8:$G$48,MATCH(AC28,HELPER!$F$8:$F$48,-1)),""))</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 t="array" ref="AD29">IF(AC29="","",IFERROR(INDEX(HELPER!$G$8:$G$48,MATCH(AC29,HELPER!$F$8:$F$48,-1)),""))</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 t="array" ref="AD30">IF(AC30="","",IFERROR(INDEX(HELPER!$G$8:$G$48,MATCH(AC30,HELPER!$F$8:$F$48,-1)),""))</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 t="array" ref="AD31">IF(AC31="","",IFERROR(INDEX(HELPER!$G$8:$G$48,MATCH(AC31,HELPER!$F$8:$F$48,-1)),""))</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 t="array" ref="AD32">IF(AC32="","",IFERROR(INDEX(HELPER!$G$8:$G$48,MATCH(AC32,HELPER!$F$8:$F$48,-1)),""))</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 t="array" ref="AD33">IF(AC33="","",IFERROR(INDEX(HELPER!$G$8:$G$48,MATCH(AC33,HELPER!$F$8:$F$48,-1)),""))</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 t="array" ref="AD34">IF(AC34="","",IFERROR(INDEX(HELPER!$G$8:$G$48,MATCH(AC34,HELPER!$F$8:$F$48,-1)),""))</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 t="array" ref="AD35">IF(AC35="","",IFERROR(INDEX(HELPER!$G$8:$G$48,MATCH(AC35,HELPER!$F$8:$F$48,-1)),""))</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 t="array" ref="AD36">IF(AC36="","",IFERROR(INDEX(HELPER!$G$8:$G$48,MATCH(AC36,HELPER!$F$8:$F$48,-1)),""))</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 t="array" ref="AD37">IF(AC37="","",IFERROR(INDEX(HELPER!$G$8:$G$48,MATCH(AC37,HELPER!$F$8:$F$48,-1)),""))</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 t="array" ref="AD38">IF(AC38="","",IFERROR(INDEX(HELPER!$G$8:$G$48,MATCH(AC38,HELPER!$F$8:$F$48,-1)),""))</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 t="array" ref="AD39">IF(AC39="","",IFERROR(INDEX(HELPER!$G$8:$G$48,MATCH(AC39,HELPER!$F$8:$F$48,-1)),""))</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 t="array" ref="AD40">IF(AC40="","",IFERROR(INDEX(HELPER!$G$8:$G$48,MATCH(AC40,HELPER!$F$8:$F$48,-1)),""))</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 t="array" ref="AD41">IF(AC41="","",IFERROR(INDEX(HELPER!$G$8:$G$48,MATCH(AC41,HELPER!$F$8:$F$48,-1)),""))</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 t="array" ref="AD42">IF(AC42="","",IFERROR(INDEX(HELPER!$G$8:$G$48,MATCH(AC42,HELPER!$F$8:$F$48,-1)),""))</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 t="array" ref="AD43">IF(AC43="","",IFERROR(INDEX(HELPER!$G$8:$G$48,MATCH(AC43,HELPER!$F$8:$F$48,-1)),""))</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 t="array" ref="AD44">IF(AC44="","",IFERROR(INDEX(HELPER!$G$8:$G$48,MATCH(AC44,HELPER!$F$8:$F$48,-1)),""))</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 t="array" ref="AD45">IF(AC45="","",IFERROR(INDEX(HELPER!$G$8:$G$48,MATCH(AC45,HELPER!$F$8:$F$48,-1)),""))</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 t="array" ref="AD46">IF(AC46="","",IFERROR(INDEX(HELPER!$G$8:$G$48,MATCH(AC46,HELPER!$F$8:$F$48,-1)),""))</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 t="array" ref="AD47">IF(AC47="","",IFERROR(INDEX(HELPER!$G$8:$G$48,MATCH(AC47,HELPER!$F$8:$F$48,-1)),""))</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 t="array" ref="AD48">IF(AC48="","",IFERROR(INDEX(HELPER!$G$8:$G$48,MATCH(AC48,HELPER!$F$8:$F$48,-1)),""))</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 t="array" ref="AD49">IF(AC49="","",IFERROR(INDEX(HELPER!$G$8:$G$48,MATCH(AC49,HELPER!$F$8:$F$48,-1)),""))</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 t="array" ref="AD50">IF(AC50="","",IFERROR(INDEX(HELPER!$G$8:$G$48,MATCH(AC50,HELPER!$F$8:$F$48,-1)),""))</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 t="array" ref="AD51">IF(AC51="","",IFERROR(INDEX(HELPER!$G$8:$G$48,MATCH(AC51,HELPER!$F$8:$F$48,-1)),""))</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 t="array" ref="AD52">IF(AC52="","",IFERROR(INDEX(HELPER!$G$8:$G$48,MATCH(AC52,HELPER!$F$8:$F$48,-1)),""))</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 t="array" ref="AD53">IF(AC53="","",IFERROR(INDEX(HELPER!$G$8:$G$48,MATCH(AC53,HELPER!$F$8:$F$48,-1)),""))</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 t="array" ref="AD54">IF(AC54="","",IFERROR(INDEX(HELPER!$G$8:$G$48,MATCH(AC54,HELPER!$F$8:$F$48,-1)),""))</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 t="array" ref="AD55">IF(AC55="","",IFERROR(INDEX(HELPER!$G$8:$G$48,MATCH(AC55,HELPER!$F$8:$F$48,-1)),""))</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 t="array" ref="AD56">IF(AC56="","",IFERROR(INDEX(HELPER!$G$8:$G$48,MATCH(AC56,HELPER!$F$8:$F$48,-1)),""))</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 t="array" ref="AD57">IF(AC57="","",IFERROR(INDEX(HELPER!$G$8:$G$48,MATCH(AC57,HELPER!$F$8:$F$48,-1)),""))</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 t="array" ref="AD58">IF(AC58="","",IFERROR(INDEX(HELPER!$G$8:$G$48,MATCH(AC58,HELPER!$F$8:$F$48,-1)),""))</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IF(AB59="","",IFERROR(INDEX(HELPER!$D$8:$D$48,IFERROR(MATCH(AB59,HELPER!$B$8:$B$48,0),MATCH(AB59,HELPER!$B$8:$B$48,-1)+1)),""))</f>
        <v/>
      </c>
      <c r="AD59" t="str">
        <f t="array" ref="AD59">IF(AC59="","",IFERROR(INDEX(HELPER!$G$8:$G$48,MATCH(AC59,HELPER!$F$8:$F$48,-1)),""))</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IF(AB60="","",IFERROR(INDEX(HELPER!$D$8:$D$48,IFERROR(MATCH(AB60,HELPER!$B$8:$B$48,0),MATCH(AB60,HELPER!$B$8:$B$48,-1)+1)),""))</f>
        <v/>
      </c>
      <c r="AD60" t="str">
        <f t="array" ref="AD60">IF(AC60="","",IFERROR(INDEX(HELPER!$G$8:$G$48,MATCH(AC60,HELPER!$F$8:$F$48,-1)),""))</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IF(AB61="","",IFERROR(INDEX(HELPER!$D$8:$D$48,IFERROR(MATCH(AB61,HELPER!$B$8:$B$48,0),MATCH(AB61,HELPER!$B$8:$B$48,-1)+1)),""))</f>
        <v/>
      </c>
      <c r="AD61" t="str">
        <f t="array" ref="AD61">IF(AC61="","",IFERROR(INDEX(HELPER!$G$8:$G$48,MATCH(AC61,HELPER!$F$8:$F$48,-1)),""))</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IF(AB62="","",IFERROR(INDEX(HELPER!$D$8:$D$48,IFERROR(MATCH(AB62,HELPER!$B$8:$B$48,0),MATCH(AB62,HELPER!$B$8:$B$48,-1)+1)),""))</f>
        <v/>
      </c>
      <c r="AD62" t="str">
        <f t="array" ref="AD62">IF(AC62="","",IFERROR(INDEX(HELPER!$G$8:$G$48,MATCH(AC62,HELPER!$F$8:$F$48,-1)),""))</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IF(AB63="","",IFERROR(INDEX(HELPER!$D$8:$D$48,IFERROR(MATCH(AB63,HELPER!$B$8:$B$48,0),MATCH(AB63,HELPER!$B$8:$B$48,-1)+1)),""))</f>
        <v/>
      </c>
      <c r="AD63" t="str">
        <f t="array" ref="AD63">IF(AC63="","",IFERROR(INDEX(HELPER!$G$8:$G$48,MATCH(AC63,HELPER!$F$8:$F$48,-1)),""))</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IF(AB64="","",IFERROR(INDEX(HELPER!$D$8:$D$48,IFERROR(MATCH(AB64,HELPER!$B$8:$B$48,0),MATCH(AB64,HELPER!$B$8:$B$48,-1)+1)),""))</f>
        <v/>
      </c>
      <c r="AD64" t="str">
        <f t="array" ref="AD64">IF(AC64="","",IFERROR(INDEX(HELPER!$G$8:$G$48,MATCH(AC64,HELPER!$F$8:$F$48,-1)),""))</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IF(AB65="","",IFERROR(INDEX(HELPER!$D$8:$D$48,IFERROR(MATCH(AB65,HELPER!$B$8:$B$48,0),MATCH(AB65,HELPER!$B$8:$B$48,-1)+1)),""))</f>
        <v/>
      </c>
      <c r="AD65" t="str">
        <f t="array" ref="AD65">IF(AC65="","",IFERROR(INDEX(HELPER!$G$8:$G$48,MATCH(AC65,HELPER!$F$8:$F$48,-1)),""))</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IF(AB66="","",IFERROR(INDEX(HELPER!$D$8:$D$48,IFERROR(MATCH(AB66,HELPER!$B$8:$B$48,0),MATCH(AB66,HELPER!$B$8:$B$48,-1)+1)),""))</f>
        <v/>
      </c>
      <c r="AD66" t="str">
        <f t="array" ref="AD66">IF(AC66="","",IFERROR(INDEX(HELPER!$G$8:$G$48,MATCH(AC66,HELPER!$F$8:$F$48,-1)),""))</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IF(AB67="","",IFERROR(INDEX(HELPER!$D$8:$D$48,IFERROR(MATCH(AB67,HELPER!$B$8:$B$48,0),MATCH(AB67,HELPER!$B$8:$B$48,-1)+1)),""))</f>
        <v/>
      </c>
      <c r="AD67" t="str">
        <f t="array" ref="AD67">IF(AC67="","",IFERROR(INDEX(HELPER!$G$8:$G$48,MATCH(AC67,HELPER!$F$8:$F$48,-1)),""))</f>
        <v/>
      </c>
    </row>
    <row r="68" ht="14.2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IF(AB69="","",IFERROR(INDEX(HELPER!$D$8:$D$48,IFERROR(MATCH(AB69,HELPER!$B$8:$B$48,0),MATCH(AB69,HELPER!$B$8:$B$48,-1)+1)),""))</f>
        <v/>
      </c>
      <c r="AD69" t="str">
        <f t="array" ref="AD69">IF(AC69="","",IFERROR(INDEX(HELPER!$G$8:$G$48,MATCH(AC69,HELPER!$F$8:$F$48,-1)),""))</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IF(AB70="","",IFERROR(INDEX(HELPER!$D$8:$D$48,IFERROR(MATCH(AB70,HELPER!$B$8:$B$48,0),MATCH(AB70,HELPER!$B$8:$B$48,-1)+1)),""))</f>
        <v/>
      </c>
      <c r="AD70" t="str">
        <f t="array" ref="AD70">IF(AC70="","",IFERROR(INDEX(HELPER!$G$8:$G$48,MATCH(AC70,HELPER!$F$8:$F$48,-1)),""))</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IF(AB71="","",IFERROR(INDEX(HELPER!$D$8:$D$48,IFERROR(MATCH(AB71,HELPER!$B$8:$B$48,0),MATCH(AB71,HELPER!$B$8:$B$48,-1)+1)),""))</f>
        <v/>
      </c>
      <c r="AD71" t="str">
        <f t="array" ref="AD71">IF(AC71="","",IFERROR(INDEX(HELPER!$G$8:$G$48,MATCH(AC71,HELPER!$F$8:$F$48,-1)),""))</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IF(AB72="","",IFERROR(INDEX(HELPER!$D$8:$D$48,IFERROR(MATCH(AB72,HELPER!$B$8:$B$48,0),MATCH(AB72,HELPER!$B$8:$B$48,-1)+1)),""))</f>
        <v/>
      </c>
      <c r="AD72" t="str">
        <f t="array" ref="AD72">IF(AC72="","",IFERROR(INDEX(HELPER!$G$8:$G$48,MATCH(AC72,HELPER!$F$8:$F$48,-1)),""))</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IF(AB73="","",IFERROR(INDEX(HELPER!$D$8:$D$48,IFERROR(MATCH(AB73,HELPER!$B$8:$B$48,0),MATCH(AB73,HELPER!$B$8:$B$48,-1)+1)),""))</f>
        <v/>
      </c>
      <c r="AD73" t="str">
        <f t="array" ref="AD73">IF(AC73="","",IFERROR(INDEX(HELPER!$G$8:$G$48,MATCH(AC73,HELPER!$F$8:$F$48,-1)),""))</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IF(AB74="","",IFERROR(INDEX(HELPER!$D$8:$D$48,IFERROR(MATCH(AB74,HELPER!$B$8:$B$48,0),MATCH(AB74,HELPER!$B$8:$B$48,-1)+1)),""))</f>
        <v/>
      </c>
      <c r="AD74" t="str">
        <f t="array" ref="AD74">IF(AC74="","",IFERROR(INDEX(HELPER!$G$8:$G$48,MATCH(AC74,HELPER!$F$8:$F$48,-1)),""))</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IF(AB75="","",IFERROR(INDEX(HELPER!$D$8:$D$48,IFERROR(MATCH(AB75,HELPER!$B$8:$B$48,0),MATCH(AB75,HELPER!$B$8:$B$48,-1)+1)),""))</f>
        <v/>
      </c>
      <c r="AD75" t="str">
        <f t="array" ref="AD75">IF(AC75="","",IFERROR(INDEX(HELPER!$G$8:$G$48,MATCH(AC75,HELPER!$F$8:$F$48,-1)),""))</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IF(AB76="","",IFERROR(INDEX(HELPER!$D$8:$D$48,IFERROR(MATCH(AB76,HELPER!$B$8:$B$48,0),MATCH(AB76,HELPER!$B$8:$B$48,-1)+1)),""))</f>
        <v/>
      </c>
      <c r="AD76" t="str">
        <f t="array" ref="AD76">IF(AC76="","",IFERROR(INDEX(HELPER!$G$8:$G$48,MATCH(AC76,HELPER!$F$8:$F$48,-1)),""))</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IF(AB77="","",IFERROR(INDEX(HELPER!$D$8:$D$48,IFERROR(MATCH(AB77,HELPER!$B$8:$B$48,0),MATCH(AB77,HELPER!$B$8:$B$48,-1)+1)),""))</f>
        <v/>
      </c>
      <c r="AD77" t="str">
        <f t="array" ref="AD77">IF(AC77="","",IFERROR(INDEX(HELPER!$G$8:$G$48,MATCH(AC77,HELPER!$F$8:$F$48,-1)),""))</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IF(AB78="","",IFERROR(INDEX(HELPER!$D$8:$D$48,IFERROR(MATCH(AB78,HELPER!$B$8:$B$48,0),MATCH(AB78,HELPER!$B$8:$B$48,-1)+1)),""))</f>
        <v/>
      </c>
      <c r="AD78" t="str">
        <f t="array" ref="AD78">IF(AC78="","",IFERROR(INDEX(HELPER!$G$8:$G$48,MATCH(AC78,HELPER!$F$8:$F$48,-1)),""))</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IF(AB79="","",IFERROR(INDEX(HELPER!$D$8:$D$48,IFERROR(MATCH(AB79,HELPER!$B$8:$B$48,0),MATCH(AB79,HELPER!$B$8:$B$48,-1)+1)),""))</f>
        <v/>
      </c>
      <c r="AD79" t="str">
        <f t="array" ref="AD79">IF(AC79="","",IFERROR(INDEX(HELPER!$G$8:$G$48,MATCH(AC79,HELPER!$F$8:$F$48,-1)),""))</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IF(AB80="","",IFERROR(INDEX(HELPER!$D$8:$D$48,IFERROR(MATCH(AB80,HELPER!$B$8:$B$48,0),MATCH(AB80,HELPER!$B$8:$B$48,-1)+1)),""))</f>
        <v/>
      </c>
      <c r="AD80" t="str">
        <f t="array" ref="AD80">IF(AC80="","",IFERROR(INDEX(HELPER!$G$8:$G$48,MATCH(AC80,HELPER!$F$8:$F$48,-1)),""))</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IF(AB81="","",IFERROR(INDEX(HELPER!$D$8:$D$48,IFERROR(MATCH(AB81,HELPER!$B$8:$B$48,0),MATCH(AB81,HELPER!$B$8:$B$48,-1)+1)),""))</f>
        <v/>
      </c>
      <c r="AD81" t="str">
        <f t="array" ref="AD81">IF(AC81="","",IFERROR(INDEX(HELPER!$G$8:$G$48,MATCH(AC81,HELPER!$F$8:$F$48,-1)),""))</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IF(AB82="","",IFERROR(INDEX(HELPER!$D$8:$D$48,IFERROR(MATCH(AB82,HELPER!$B$8:$B$48,0),MATCH(AB82,HELPER!$B$8:$B$48,-1)+1)),""))</f>
        <v/>
      </c>
      <c r="AD82" t="str">
        <f t="array" ref="AD82">IF(AC82="","",IFERROR(INDEX(HELPER!$G$8:$G$48,MATCH(AC82,HELPER!$F$8:$F$48,-1)),""))</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IF(AB83="","",IFERROR(INDEX(HELPER!$D$8:$D$48,IFERROR(MATCH(AB83,HELPER!$B$8:$B$48,0),MATCH(AB83,HELPER!$B$8:$B$48,-1)+1)),""))</f>
        <v/>
      </c>
      <c r="AD83" t="str">
        <f t="array" ref="AD83">IF(AC83="","",IFERROR(INDEX(HELPER!$G$8:$G$48,MATCH(AC83,HELPER!$F$8:$F$48,-1)),""))</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IF(AB84="","",IFERROR(INDEX(HELPER!$D$8:$D$48,IFERROR(MATCH(AB84,HELPER!$B$8:$B$48,0),MATCH(AB84,HELPER!$B$8:$B$48,-1)+1)),""))</f>
        <v/>
      </c>
      <c r="AD84" t="str">
        <f t="array" ref="AD84">IF(AC84="","",IFERROR(INDEX(HELPER!$G$8:$G$48,MATCH(AC84,HELPER!$F$8:$F$48,-1)),""))</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IF(AB85="","",IFERROR(INDEX(HELPER!$D$8:$D$48,IFERROR(MATCH(AB85,HELPER!$B$8:$B$48,0),MATCH(AB85,HELPER!$B$8:$B$48,-1)+1)),""))</f>
        <v/>
      </c>
      <c r="AD85" t="str">
        <f t="array" ref="AD85">IF(AC85="","",IFERROR(INDEX(HELPER!$G$8:$G$48,MATCH(AC85,HELPER!$F$8:$F$48,-1)),""))</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IF(AB86="","",IFERROR(INDEX(HELPER!$D$8:$D$48,IFERROR(MATCH(AB86,HELPER!$B$8:$B$48,0),MATCH(AB86,HELPER!$B$8:$B$48,-1)+1)),""))</f>
        <v/>
      </c>
      <c r="AD86" t="str">
        <f t="array" ref="AD86">IF(AC86="","",IFERROR(INDEX(HELPER!$G$8:$G$48,MATCH(AC86,HELPER!$F$8:$F$48,-1)),""))</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IF(AB87="","",IFERROR(INDEX(HELPER!$D$8:$D$48,IFERROR(MATCH(AB87,HELPER!$B$8:$B$48,0),MATCH(AB87,HELPER!$B$8:$B$48,-1)+1)),""))</f>
        <v/>
      </c>
      <c r="AD87" t="str">
        <f t="array" ref="AD87">IF(AC87="","",IFERROR(INDEX(HELPER!$G$8:$G$48,MATCH(AC87,HELPER!$F$8:$F$48,-1)),""))</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IF(AB88="","",IFERROR(INDEX(HELPER!$D$8:$D$48,IFERROR(MATCH(AB88,HELPER!$B$8:$B$48,0),MATCH(AB88,HELPER!$B$8:$B$48,-1)+1)),""))</f>
        <v/>
      </c>
      <c r="AD88" t="str">
        <f t="array" ref="AD88">IF(AC88="","",IFERROR(INDEX(HELPER!$G$8:$G$48,MATCH(AC88,HELPER!$F$8:$F$48,-1)),""))</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IF(AB89="","",IFERROR(INDEX(HELPER!$D$8:$D$48,IFERROR(MATCH(AB89,HELPER!$B$8:$B$48,0),MATCH(AB89,HELPER!$B$8:$B$48,-1)+1)),""))</f>
        <v/>
      </c>
      <c r="AD89" t="str">
        <f t="array" ref="AD89">IF(AC89="","",IFERROR(INDEX(HELPER!$G$8:$G$48,MATCH(AC89,HELPER!$F$8:$F$48,-1)),""))</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IF(AB90="","",IFERROR(INDEX(HELPER!$D$8:$D$48,IFERROR(MATCH(AB90,HELPER!$B$8:$B$48,0),MATCH(AB90,HELPER!$B$8:$B$48,-1)+1)),""))</f>
        <v/>
      </c>
      <c r="AD90" t="str">
        <f t="array" ref="AD90">IF(AC90="","",IFERROR(INDEX(HELPER!$G$8:$G$48,MATCH(AC90,HELPER!$F$8:$F$48,-1)),""))</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IF(AB91="","",IFERROR(INDEX(HELPER!$D$8:$D$48,IFERROR(MATCH(AB91,HELPER!$B$8:$B$48,0),MATCH(AB91,HELPER!$B$8:$B$48,-1)+1)),""))</f>
        <v/>
      </c>
      <c r="AD91" t="str">
        <f t="array" ref="AD91">IF(AC91="","",IFERROR(INDEX(HELPER!$G$8:$G$48,MATCH(AC91,HELPER!$F$8:$F$48,-1)),""))</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IF(AB92="","",IFERROR(INDEX(HELPER!$D$8:$D$48,IFERROR(MATCH(AB92,HELPER!$B$8:$B$48,0),MATCH(AB92,HELPER!$B$8:$B$48,-1)+1)),""))</f>
        <v/>
      </c>
      <c r="AD92" t="str">
        <f t="array" ref="AD92">IF(AC92="","",IFERROR(INDEX(HELPER!$G$8:$G$48,MATCH(AC92,HELPER!$F$8:$F$48,-1)),""))</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IF(AB93="","",IFERROR(INDEX(HELPER!$D$8:$D$48,IFERROR(MATCH(AB93,HELPER!$B$8:$B$48,0),MATCH(AB93,HELPER!$B$8:$B$48,-1)+1)),""))</f>
        <v/>
      </c>
      <c r="AD93" t="str">
        <f t="array" ref="AD93">IF(AC93="","",IFERROR(INDEX(HELPER!$G$8:$G$48,MATCH(AC93,HELPER!$F$8:$F$48,-1)),""))</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IF(AB94="","",IFERROR(INDEX(HELPER!$D$8:$D$48,IFERROR(MATCH(AB94,HELPER!$B$8:$B$48,0),MATCH(AB94,HELPER!$B$8:$B$48,-1)+1)),""))</f>
        <v/>
      </c>
      <c r="AD94" t="str">
        <f t="array" ref="AD94">IF(AC94="","",IFERROR(INDEX(HELPER!$G$8:$G$48,MATCH(AC94,HELPER!$F$8:$F$48,-1)),""))</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IF(AB95="","",IFERROR(INDEX(HELPER!$D$8:$D$48,IFERROR(MATCH(AB95,HELPER!$B$8:$B$48,0),MATCH(AB95,HELPER!$B$8:$B$48,-1)+1)),""))</f>
        <v/>
      </c>
      <c r="AD95" t="str">
        <f t="array" ref="AD95">IF(AC95="","",IFERROR(INDEX(HELPER!$G$8:$G$48,MATCH(AC95,HELPER!$F$8:$F$48,-1)),""))</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IF(AB96="","",IFERROR(INDEX(HELPER!$D$8:$D$48,IFERROR(MATCH(AB96,HELPER!$B$8:$B$48,0),MATCH(AB96,HELPER!$B$8:$B$48,-1)+1)),""))</f>
        <v/>
      </c>
      <c r="AD96" t="str">
        <f t="array" ref="AD96">IF(AC96="","",IFERROR(INDEX(HELPER!$G$8:$G$48,MATCH(AC96,HELPER!$F$8:$F$48,-1)),""))</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IF(AB97="","",IFERROR(INDEX(HELPER!$D$8:$D$48,IFERROR(MATCH(AB97,HELPER!$B$8:$B$48,0),MATCH(AB97,HELPER!$B$8:$B$48,-1)+1)),""))</f>
        <v/>
      </c>
      <c r="AD97" t="str">
        <f t="array" ref="AD97">IF(AC97="","",IFERROR(INDEX(HELPER!$G$8:$G$48,MATCH(AC97,HELPER!$F$8:$F$48,-1)),""))</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IF(AB98="","",IFERROR(INDEX(HELPER!$D$8:$D$48,IFERROR(MATCH(AB98,HELPER!$B$8:$B$48,0),MATCH(AB98,HELPER!$B$8:$B$48,-1)+1)),""))</f>
        <v/>
      </c>
      <c r="AD98" t="str">
        <f t="array" ref="AD98">IF(AC98="","",IFERROR(INDEX(HELPER!$G$8:$G$48,MATCH(AC98,HELPER!$F$8:$F$48,-1)),""))</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IF(AB99="","",IFERROR(INDEX(HELPER!$D$8:$D$48,IFERROR(MATCH(AB99,HELPER!$B$8:$B$48,0),MATCH(AB99,HELPER!$B$8:$B$48,-1)+1)),""))</f>
        <v/>
      </c>
      <c r="AD99" t="str">
        <f t="array" ref="AD99">IF(AC99="","",IFERROR(INDEX(HELPER!$G$8:$G$48,MATCH(AC99,HELPER!$F$8:$F$48,-1)),""))</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IF(AB100="","",IFERROR(INDEX(HELPER!$D$8:$D$48,IFERROR(MATCH(AB100,HELPER!$B$8:$B$48,0),MATCH(AB100,HELPER!$B$8:$B$48,-1)+1)),""))</f>
        <v/>
      </c>
      <c r="AD100" t="str">
        <f t="array" ref="AD100">IF(AC100="","",IFERROR(INDEX(HELPER!$G$8:$G$48,MATCH(AC100,HELPER!$F$8:$F$48,-1)),""))</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IF(AB101="","",IFERROR(INDEX(HELPER!$D$8:$D$48,IFERROR(MATCH(AB101,HELPER!$B$8:$B$48,0),MATCH(AB101,HELPER!$B$8:$B$48,-1)+1)),""))</f>
        <v/>
      </c>
      <c r="AD101" t="str">
        <f t="array" ref="AD101">IF(AC101="","",IFERROR(INDEX(HELPER!$G$8:$G$48,MATCH(AC101,HELPER!$F$8:$F$48,-1)),""))</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IF(AB102="","",IFERROR(INDEX(HELPER!$D$8:$D$48,IFERROR(MATCH(AB102,HELPER!$B$8:$B$48,0),MATCH(AB102,HELPER!$B$8:$B$48,-1)+1)),""))</f>
        <v/>
      </c>
      <c r="AD102" t="str">
        <f t="array" ref="AD102">IF(AC102="","",IFERROR(INDEX(HELPER!$G$8:$G$48,MATCH(AC102,HELPER!$F$8:$F$48,-1)),""))</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IF(AB103="","",IFERROR(INDEX(HELPER!$D$8:$D$48,IFERROR(MATCH(AB103,HELPER!$B$8:$B$48,0),MATCH(AB103,HELPER!$B$8:$B$48,-1)+1)),""))</f>
        <v/>
      </c>
      <c r="AD103" t="str">
        <f t="array" ref="AD103">IF(AC103="","",IFERROR(INDEX(HELPER!$G$8:$G$48,MATCH(AC103,HELPER!$F$8:$F$48,-1)),""))</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IF(AB104="","",IFERROR(INDEX(HELPER!$D$8:$D$48,IFERROR(MATCH(AB104,HELPER!$B$8:$B$48,0),MATCH(AB104,HELPER!$B$8:$B$48,-1)+1)),""))</f>
        <v/>
      </c>
      <c r="AD104" t="str">
        <f t="array" ref="AD104">IF(AC104="","",IFERROR(INDEX(HELPER!$G$8:$G$48,MATCH(AC104,HELPER!$F$8:$F$48,-1)),""))</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IF(AB105="","",IFERROR(INDEX(HELPER!$D$8:$D$48,IFERROR(MATCH(AB105,HELPER!$B$8:$B$48,0),MATCH(AB105,HELPER!$B$8:$B$48,-1)+1)),""))</f>
        <v/>
      </c>
      <c r="AD105" t="str">
        <f t="array" ref="AD105">IF(AC105="","",IFERROR(INDEX(HELPER!$G$8:$G$48,MATCH(AC105,HELPER!$F$8:$F$48,-1)),""))</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IF(AB106="","",IFERROR(INDEX(HELPER!$D$8:$D$48,IFERROR(MATCH(AB106,HELPER!$B$8:$B$48,0),MATCH(AB106,HELPER!$B$8:$B$48,-1)+1)),""))</f>
        <v/>
      </c>
      <c r="AD106" t="str">
        <f t="array" ref="AD106">IF(AC106="","",IFERROR(INDEX(HELPER!$G$8:$G$48,MATCH(AC106,HELPER!$F$8:$F$48,-1)),""))</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IF(AB107="","",IFERROR(INDEX(HELPER!$D$8:$D$48,IFERROR(MATCH(AB107,HELPER!$B$8:$B$48,0),MATCH(AB107,HELPER!$B$8:$B$48,-1)+1)),""))</f>
        <v/>
      </c>
      <c r="AD107" t="str">
        <f t="array" ref="AD107">IF(AC107="","",IFERROR(INDEX(HELPER!$G$8:$G$48,MATCH(AC107,HELPER!$F$8:$F$48,-1)),""))</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IF(AB108="","",IFERROR(INDEX(HELPER!$D$8:$D$48,IFERROR(MATCH(AB108,HELPER!$B$8:$B$48,0),MATCH(AB108,HELPER!$B$8:$B$48,-1)+1)),""))</f>
        <v/>
      </c>
      <c r="AD108" t="str">
        <f t="array" ref="AD108">IF(AC108="","",IFERROR(INDEX(HELPER!$G$8:$G$48,MATCH(AC108,HELPER!$F$8:$F$48,-1)),""))</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IF(AB109="","",IFERROR(INDEX(HELPER!$D$8:$D$48,IFERROR(MATCH(AB109,HELPER!$B$8:$B$48,0),MATCH(AB109,HELPER!$B$8:$B$48,-1)+1)),""))</f>
        <v/>
      </c>
      <c r="AD109" t="str">
        <f t="array" ref="AD109">IF(AC109="","",IFERROR(INDEX(HELPER!$G$8:$G$48,MATCH(AC109,HELPER!$F$8:$F$48,-1)),""))</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IF(AB110="","",IFERROR(INDEX(HELPER!$D$8:$D$48,IFERROR(MATCH(AB110,HELPER!$B$8:$B$48,0),MATCH(AB110,HELPER!$B$8:$B$48,-1)+1)),""))</f>
        <v/>
      </c>
      <c r="AD110" t="str">
        <f t="array" ref="AD110">IF(AC110="","",IFERROR(INDEX(HELPER!$G$8:$G$48,MATCH(AC110,HELPER!$F$8:$F$48,-1)),""))</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IF(AB111="","",IFERROR(INDEX(HELPER!$D$8:$D$48,IFERROR(MATCH(AB111,HELPER!$B$8:$B$48,0),MATCH(AB111,HELPER!$B$8:$B$48,-1)+1)),""))</f>
        <v/>
      </c>
      <c r="AD111" t="str">
        <f t="array" ref="AD111">IF(AC111="","",IFERROR(INDEX(HELPER!$G$8:$G$48,MATCH(AC111,HELPER!$F$8:$F$48,-1)),""))</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IF(AB112="","",IFERROR(INDEX(HELPER!$D$8:$D$48,IFERROR(MATCH(AB112,HELPER!$B$8:$B$48,0),MATCH(AB112,HELPER!$B$8:$B$48,-1)+1)),""))</f>
        <v/>
      </c>
      <c r="AD112" t="str">
        <f t="array" ref="AD112">IF(AC112="","",IFERROR(INDEX(HELPER!$G$8:$G$48,MATCH(AC112,HELPER!$F$8:$F$48,-1)),""))</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IF(AB113="","",IFERROR(INDEX(HELPER!$D$8:$D$48,IFERROR(MATCH(AB113,HELPER!$B$8:$B$48,0),MATCH(AB113,HELPER!$B$8:$B$48,-1)+1)),""))</f>
        <v/>
      </c>
      <c r="AD113" t="str">
        <f t="array" ref="AD113">IF(AC113="","",IFERROR(INDEX(HELPER!$G$8:$G$48,MATCH(AC113,HELPER!$F$8:$F$48,-1)),""))</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IF(AB114="","",IFERROR(INDEX(HELPER!$D$8:$D$48,IFERROR(MATCH(AB114,HELPER!$B$8:$B$48,0),MATCH(AB114,HELPER!$B$8:$B$48,-1)+1)),""))</f>
        <v/>
      </c>
      <c r="AD114" t="str">
        <f t="array" ref="AD114">IF(AC114="","",IFERROR(INDEX(HELPER!$G$8:$G$48,MATCH(AC114,HELPER!$F$8:$F$48,-1)),""))</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IF(AB115="","",IFERROR(INDEX(HELPER!$D$8:$D$48,IFERROR(MATCH(AB115,HELPER!$B$8:$B$48,0),MATCH(AB115,HELPER!$B$8:$B$48,-1)+1)),""))</f>
        <v/>
      </c>
      <c r="AD115" t="str">
        <f t="array" ref="AD115">IF(AC115="","",IFERROR(INDEX(HELPER!$G$8:$G$48,MATCH(AC115,HELPER!$F$8:$F$48,-1)),""))</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IF(AB116="","",IFERROR(INDEX(HELPER!$D$8:$D$48,IFERROR(MATCH(AB116,HELPER!$B$8:$B$48,0),MATCH(AB116,HELPER!$B$8:$B$48,-1)+1)),""))</f>
        <v/>
      </c>
      <c r="AD116" t="str">
        <f t="array" ref="AD116">IF(AC116="","",IFERROR(INDEX(HELPER!$G$8:$G$48,MATCH(AC116,HELPER!$F$8:$F$48,-1)),""))</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IF(AB117="","",IFERROR(INDEX(HELPER!$D$8:$D$48,IFERROR(MATCH(AB117,HELPER!$B$8:$B$48,0),MATCH(AB117,HELPER!$B$8:$B$48,-1)+1)),""))</f>
        <v/>
      </c>
      <c r="AD117" t="str">
        <f t="array" ref="AD117">IF(AC117="","",IFERROR(INDEX(HELPER!$G$8:$G$48,MATCH(AC117,HELPER!$F$8:$F$48,-1)),""))</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IF(AB118="","",IFERROR(INDEX(HELPER!$D$8:$D$48,IFERROR(MATCH(AB118,HELPER!$B$8:$B$48,0),MATCH(AB118,HELPER!$B$8:$B$48,-1)+1)),""))</f>
        <v/>
      </c>
      <c r="AD118" t="str">
        <f t="array" ref="AD118">IF(AC118="","",IFERROR(INDEX(HELPER!$G$8:$G$48,MATCH(AC118,HELPER!$F$8:$F$48,-1)),""))</f>
        <v/>
      </c>
    </row>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7" right="0.7" top="0.75" bottom="0.75" header="0" footer="0"/>
  <ignoredErrors>
    <ignoredError numberStoredAsText="1" sqref="A1:AF1000"/>
  </ignoredErrors>
</worksheet>
</file>

<file path=xl/worksheets/sheet4.xml><?xml version="1.0" encoding="utf-8"?>
<worksheet xmlns="http://schemas.openxmlformats.org/spreadsheetml/2006/main" xmlns:r="http://schemas.openxmlformats.org/officeDocument/2006/relationships">
  <dimension ref="A1:AF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3.88"/>
    <col min="7" max="7" customWidth="1" width="3.88"/>
    <col min="8" max="8" customWidth="1" width="3.88"/>
    <col min="9" max="9" customWidth="1" width="3.88"/>
    <col min="10" max="10" customWidth="1" width="3.88"/>
    <col min="11" max="11" customWidth="1" width="5.13"/>
    <col min="12" max="12" customWidth="1" width="5.63"/>
    <col min="13" max="13" customWidth="1" width="6.38"/>
    <col min="14" max="14" customWidth="1" width="3.88"/>
    <col min="15" max="15" customWidth="1" width="3.88"/>
    <col min="16" max="16" customWidth="1" width="3.88"/>
    <col min="17" max="17" customWidth="1" width="5.13"/>
    <col min="18" max="18" customWidth="1" width="5.63"/>
    <col min="19" max="19" customWidth="1" width="6.38"/>
    <col min="20" max="20" customWidth="1" width="5.63"/>
    <col min="21" max="21" customWidth="1" width="5.63"/>
    <col min="22" max="22" customWidth="1" width="5.63"/>
    <col min="23" max="23" customWidth="1" width="8"/>
    <col min="24" max="24" customWidth="1" width="8"/>
    <col min="25" max="25" customWidth="1" width="8"/>
    <col min="26" max="26" customWidth="1" width="5.63"/>
    <col min="27" max="27" customWidth="1" width="5.63"/>
    <col min="28" max="28" customWidth="1" width="7.38"/>
    <col min="29" max="29" customWidth="1" width="10.13"/>
    <col min="30" max="30" customWidth="1" width="14.5"/>
    <col min="31" max="31" customWidth="1" width="12.63"/>
    <col min="32" max="32" customWidth="1" width="3.88"/>
  </cols>
  <sheetData>
    <row r="1" ht="15.75" customHeight="1"/>
    <row r="2" ht="15.75" customHeight="1">
      <c r="B2" t="str">
        <v>CLASS RECORD</v>
      </c>
    </row>
    <row r="3" ht="15.75" customHeight="1"/>
    <row r="4" ht="15.75" customHeight="1"/>
    <row r="5" ht="15.75" customHeight="1">
      <c r="E5" t="str">
        <v>REGION</v>
      </c>
      <c r="F5" t="str">
        <f>IF('INPUT DATA'!E10="","",'INPUT DATA'!E10)</f>
        <v/>
      </c>
      <c r="Q5" t="str">
        <v>DIVISION</v>
      </c>
      <c r="R5" t="str">
        <f>IF('INPUT DATA'!E11="","",'INPUT DATA'!E11)</f>
        <v/>
      </c>
      <c r="Y5" t="str">
        <v>SCHOOL ID</v>
      </c>
      <c r="Z5" t="str">
        <f>IF('INPUT DATA'!E13="","",'INPUT DATA'!E13)</f>
        <v/>
      </c>
    </row>
    <row r="6" ht="6" customHeight="1"/>
    <row r="7" ht="15.75" customHeight="1">
      <c r="E7" t="str">
        <v>SCHOOL NAME</v>
      </c>
      <c r="F7" t="str">
        <f>IF('INPUT DATA'!E14="","",'INPUT DATA'!E14)</f>
        <v/>
      </c>
      <c r="Y7" t="str">
        <v>SCHOOL YEAR</v>
      </c>
      <c r="Z7" t="str">
        <f>IF('INPUT DATA'!E15="","",'INPUT DATA'!E15)</f>
        <v/>
      </c>
    </row>
    <row r="8" ht="13.5" customHeight="1"/>
    <row r="9" ht="15.75" customHeight="1"/>
    <row r="10" ht="14.25" customHeight="1">
      <c r="B10" t="str">
        <v>THIRD TERM</v>
      </c>
      <c r="F10" t="str">
        <v>GRADE LEVEL</v>
      </c>
      <c r="J10" t="str">
        <f>IF('INPUT DATA'!E25="","",'INPUT DATA'!E25)</f>
        <v/>
      </c>
      <c r="N10" t="str">
        <v>TEACHER</v>
      </c>
      <c r="Q10" t="str">
        <f>IF('INPUT DATA'!E23="","",'INPUT DATA'!E23)</f>
        <v/>
      </c>
      <c r="Y10" t="str">
        <v>SUBJECT</v>
      </c>
      <c r="AA10" t="str">
        <f>IF('INPUT DATA'!E24="","",'INPUT DATA'!E24)</f>
        <v/>
      </c>
    </row>
    <row r="11" ht="14.25" customHeight="1">
      <c r="F11" t="str">
        <v>SECTION</v>
      </c>
      <c r="J11" t="str">
        <f>IF('INPUT DATA'!E26="","",'INPUT DATA'!E26)</f>
        <v/>
      </c>
    </row>
    <row r="12" ht="12.75" customHeight="1">
      <c r="F12" t="str">
        <v>WRITTEN / ORAL WORKS (WWs)</v>
      </c>
      <c r="N12" t="str">
        <v>PRODUCT / PERFORMANCE TASKS (PTs)</v>
      </c>
      <c r="T12" t="str">
        <v>EXAMINATIONS (EXs)</v>
      </c>
      <c r="AB12" t="str">
        <v>Initial Grade</v>
      </c>
      <c r="AC12" t="str">
        <v>Term Grade</v>
      </c>
      <c r="AD12" t="str">
        <v>Descriptor</v>
      </c>
    </row>
    <row r="13" ht="13.5" customHeight="1"/>
    <row r="14" ht="13.5" customHeight="1">
      <c r="F14">
        <v>1</v>
      </c>
      <c r="G14">
        <v>2</v>
      </c>
      <c r="H14">
        <v>3</v>
      </c>
      <c r="I14">
        <v>4</v>
      </c>
      <c r="J14">
        <v>5</v>
      </c>
      <c r="K14" t="str">
        <v>Total</v>
      </c>
      <c r="L14" t="str">
        <v>PS</v>
      </c>
      <c r="M14" t="str">
        <v>WS</v>
      </c>
      <c r="N14">
        <v>1</v>
      </c>
      <c r="O14">
        <v>2</v>
      </c>
      <c r="P14">
        <v>3</v>
      </c>
      <c r="Q14" t="str">
        <v>Total</v>
      </c>
      <c r="R14" t="str">
        <v>PS</v>
      </c>
      <c r="S14" t="str">
        <v>WS</v>
      </c>
      <c r="T14" t="str">
        <v>ST1</v>
      </c>
      <c r="U14" t="str">
        <v>ST2</v>
      </c>
      <c r="V14" t="str">
        <v>TE</v>
      </c>
      <c r="W14" t="str">
        <v>WS ST1</v>
      </c>
      <c r="X14" t="str">
        <v>WS ST2</v>
      </c>
      <c r="Y14" t="str">
        <v>WS TE</v>
      </c>
      <c r="Z14" t="str">
        <v>PS</v>
      </c>
      <c r="AA14" t="str">
        <v>WS</v>
      </c>
    </row>
    <row r="15" ht="14.25" customHeight="1">
      <c r="B15" t="str">
        <v>HIGHEST POSSIBLE SCORE</v>
      </c>
      <c r="K15" t="str">
        <f>IF(COUNT(F15:J15)=0,"",SUM(F15:J15))</f>
        <v/>
      </c>
      <c r="L15" s="1">
        <v>100</v>
      </c>
      <c r="M15" s="2">
        <v>0.2</v>
      </c>
      <c r="Q15" t="str">
        <f>IF(COUNT(N15:P15)=0,"",SUM(N15:P15))</f>
        <v/>
      </c>
      <c r="R15" s="1">
        <v>100</v>
      </c>
      <c r="S15" s="2">
        <v>0.6</v>
      </c>
      <c r="W15">
        <v>30</v>
      </c>
      <c r="X15">
        <v>30</v>
      </c>
      <c r="Y15">
        <v>40</v>
      </c>
      <c r="Z15" s="1">
        <v>100</v>
      </c>
      <c r="AA15" s="2">
        <v>0.2</v>
      </c>
    </row>
    <row r="16" ht="14.25" customHeight="1">
      <c r="B16" t="str">
        <v>LEARNERS' NAMES</v>
      </c>
    </row>
    <row r="17" ht="14.25" customHeight="1">
      <c r="B17" t="str">
        <v>MALE</v>
      </c>
    </row>
    <row r="18" ht="15" customHeight="1">
      <c r="B18">
        <v>1</v>
      </c>
      <c r="C18" t="str">
        <f>IF('INPUT DATA'!K11="","",'INPUT DATA'!K11)</f>
        <v/>
      </c>
      <c r="K18" t="str">
        <f>IF(COUNT($F18:$J18)=0,"",SUM($F18:$J18))</f>
        <v/>
      </c>
      <c r="L18" s="3" t="str">
        <f>IF(COUNT(F18:J18)=0,"",IFERROR(K18/$K$15*$L$15,""))</f>
        <v/>
      </c>
      <c r="M18" s="3" t="str">
        <f>IF(L18="","",L18*$M$15)</f>
        <v/>
      </c>
      <c r="Q18" t="str">
        <f>IF(COUNT(N18:P18)=0,"",SUM(N18:P18))</f>
        <v/>
      </c>
      <c r="R18" s="3" t="str">
        <f>IF(COUNT(N18:P18)=0,"",IFERROR(Q18/$Q$15*$R$15,""))</f>
        <v/>
      </c>
      <c r="S18" s="3" t="str">
        <f>IF(R18="","",R18*$S$15)</f>
        <v/>
      </c>
      <c r="W18" s="3" t="str">
        <f>IF(T18="","",IFERROR(T18/$T$15*$W$15,""))</f>
        <v/>
      </c>
      <c r="X18" s="3" t="str">
        <f>IF(U18="","",IFERROR(U18/$U$15*$X$15,""))</f>
        <v/>
      </c>
      <c r="Y18" s="3" t="str">
        <f>IF(V18="","",IFERROR(V18/$V$15*$Y$15,""))</f>
        <v/>
      </c>
      <c r="Z18" s="3" t="str">
        <f>IF(COUNT(T18:V18)=0,"",SUM(W18:Y18))</f>
        <v/>
      </c>
      <c r="AA18" s="3" t="str">
        <f>IF(Z18="","",Z18*$AA$15)</f>
        <v/>
      </c>
      <c r="AB18" s="3" t="str">
        <f>IF(COUNT(F18:J18,N18:P18,T18:V18)=0,"",SUM(M18,S18,AA18))</f>
        <v/>
      </c>
      <c r="AC18" s="1" t="str">
        <f t="array" ref="AC18">IF(AB18="","",IFERROR(INDEX(HELPER!$D$8:$D$48,IF(AB18&gt;=HELPER!$B$8,1,MATCH(AB18,HELPER!$B$8:$B$48,-1)+1)),""))</f>
        <v/>
      </c>
      <c r="AD18" t="str">
        <f t="array" ref="AD18">IF(AC18="","",IFERROR(INDEX(HELPER!$G$8:$G$48,MATCH(AC18,HELPER!$F$8:$F$48,-1)),""))</f>
        <v/>
      </c>
    </row>
    <row r="19" ht="15" customHeight="1">
      <c r="B19">
        <v>2</v>
      </c>
      <c r="C19" t="str">
        <f>IF('INPUT DATA'!K12="","",'INPUT DATA'!K12)</f>
        <v/>
      </c>
      <c r="K19" t="str">
        <f>IF(COUNT($F19:$J19)=0,"",SUM($F19:$J19))</f>
        <v/>
      </c>
      <c r="L19" s="3" t="str">
        <f>IF(COUNT(F19:J19)=0,"",IFERROR(K19/$K$15*$L$15,""))</f>
        <v/>
      </c>
      <c r="M19" s="3" t="str">
        <f>IF(L19="","",L19*$M$15)</f>
        <v/>
      </c>
      <c r="Q19" t="str">
        <f>IF(COUNT(N19:P19)=0,"",SUM(N19:P19))</f>
        <v/>
      </c>
      <c r="R19" s="3" t="str">
        <f>IF(COUNT(N19:P19)=0,"",IFERROR(Q19/$Q$15*$R$15,""))</f>
        <v/>
      </c>
      <c r="S19" s="3" t="str">
        <f>IF(R19="","",R19*$S$15)</f>
        <v/>
      </c>
      <c r="W19" s="3" t="str">
        <f>IF(T19="","",IFERROR(T19/$T$15*$W$15,""))</f>
        <v/>
      </c>
      <c r="X19" s="3" t="str">
        <f>IF(U19="","",IFERROR(U19/$U$15*$X$15,""))</f>
        <v/>
      </c>
      <c r="Y19" s="3" t="str">
        <f>IF(V19="","",IFERROR(V19/$V$15*$Y$15,""))</f>
        <v/>
      </c>
      <c r="Z19" s="3" t="str">
        <f>IF(COUNT(T19:V19)=0,"",SUM(W19:Y19))</f>
        <v/>
      </c>
      <c r="AA19" s="3" t="str">
        <f>IF(Z19="","",Z19*$AA$15)</f>
        <v/>
      </c>
      <c r="AB19" s="3" t="str">
        <f>IF(COUNT(F19:J19,N19:P19,T19:V19)=0,"",SUM(M19,S19,AA19))</f>
        <v/>
      </c>
      <c r="AC19" s="1" t="str">
        <f t="array" ref="AC19">IF(AB19="","",IFERROR(INDEX(HELPER!$D$8:$D$48,IF(AB19&gt;=HELPER!$B$8,1,MATCH(AB19,HELPER!$B$8:$B$48,-1)+1)),""))</f>
        <v/>
      </c>
      <c r="AD19" t="str">
        <f t="array" ref="AD19">IF(AC19="","",IFERROR(INDEX(HELPER!$G$8:$G$48,MATCH(AC19,HELPER!$F$8:$F$48,-1)),""))</f>
        <v/>
      </c>
    </row>
    <row r="20" ht="15" customHeight="1">
      <c r="B20">
        <v>3</v>
      </c>
      <c r="C20" t="str">
        <f>IF('INPUT DATA'!K13="","",'INPUT DATA'!K13)</f>
        <v/>
      </c>
      <c r="K20" t="str">
        <f>IF(COUNT($F20:$J20)=0,"",SUM($F20:$J20))</f>
        <v/>
      </c>
      <c r="L20" s="3" t="str">
        <f>IF(COUNT(F20:J20)=0,"",IFERROR(K20/$K$15*$L$15,""))</f>
        <v/>
      </c>
      <c r="M20" s="3" t="str">
        <f>IF(L20="","",L20*$M$15)</f>
        <v/>
      </c>
      <c r="Q20" t="str">
        <f>IF(COUNT(N20:P20)=0,"",SUM(N20:P20))</f>
        <v/>
      </c>
      <c r="R20" s="3" t="str">
        <f>IF(COUNT(N20:P20)=0,"",IFERROR(Q20/$Q$15*$R$15,""))</f>
        <v/>
      </c>
      <c r="S20" s="3" t="str">
        <f>IF(R20="","",R20*$S$15)</f>
        <v/>
      </c>
      <c r="W20" s="3" t="str">
        <f>IF(T20="","",IFERROR(T20/$T$15*$W$15,""))</f>
        <v/>
      </c>
      <c r="X20" s="3" t="str">
        <f>IF(U20="","",IFERROR(U20/$U$15*$X$15,""))</f>
        <v/>
      </c>
      <c r="Y20" s="3" t="str">
        <f>IF(V20="","",IFERROR(V20/$V$15*$Y$15,""))</f>
        <v/>
      </c>
      <c r="Z20" s="3" t="str">
        <f>IF(COUNT(T20:V20)=0,"",SUM(W20:Y20))</f>
        <v/>
      </c>
      <c r="AA20" s="3" t="str">
        <f>IF(Z20="","",Z20*$AA$15)</f>
        <v/>
      </c>
      <c r="AB20" s="3" t="str">
        <f>IF(COUNT(F20:J20,N20:P20,T20:V20)=0,"",SUM(M20,S20,AA20))</f>
        <v/>
      </c>
      <c r="AC20" s="1" t="str">
        <f t="array" ref="AC20">IF(AB20="","",IFERROR(INDEX(HELPER!$D$8:$D$48,IF(AB20&gt;=HELPER!$B$8,1,MATCH(AB20,HELPER!$B$8:$B$48,-1)+1)),""))</f>
        <v/>
      </c>
      <c r="AD20" t="str">
        <f t="array" ref="AD20">IF(AC20="","",IFERROR(INDEX(HELPER!$G$8:$G$48,MATCH(AC20,HELPER!$F$8:$F$48,-1)),""))</f>
        <v/>
      </c>
    </row>
    <row r="21" ht="15" customHeight="1">
      <c r="B21">
        <v>4</v>
      </c>
      <c r="C21" t="str">
        <f>IF('INPUT DATA'!K14="","",'INPUT DATA'!K14)</f>
        <v/>
      </c>
      <c r="K21" t="str">
        <f>IF(COUNT($F21:$J21)=0,"",SUM($F21:$J21))</f>
        <v/>
      </c>
      <c r="L21" s="3" t="str">
        <f>IF(COUNT(F21:J21)=0,"",IFERROR(K21/$K$15*$L$15,""))</f>
        <v/>
      </c>
      <c r="M21" s="3" t="str">
        <f>IF(L21="","",L21*$M$15)</f>
        <v/>
      </c>
      <c r="Q21" t="str">
        <f>IF(COUNT(N21:P21)=0,"",SUM(N21:P21))</f>
        <v/>
      </c>
      <c r="R21" s="3" t="str">
        <f>IF(COUNT(N21:P21)=0,"",IFERROR(Q21/$Q$15*$R$15,""))</f>
        <v/>
      </c>
      <c r="S21" s="3" t="str">
        <f>IF(R21="","",R21*$S$15)</f>
        <v/>
      </c>
      <c r="W21" s="3" t="str">
        <f>IF(T21="","",IFERROR(T21/$T$15*$W$15,""))</f>
        <v/>
      </c>
      <c r="X21" s="3" t="str">
        <f>IF(U21="","",IFERROR(U21/$U$15*$X$15,""))</f>
        <v/>
      </c>
      <c r="Y21" s="3" t="str">
        <f>IF(V21="","",IFERROR(V21/$V$15*$Y$15,""))</f>
        <v/>
      </c>
      <c r="Z21" s="3" t="str">
        <f>IF(COUNT(T21:V21)=0,"",SUM(W21:Y21))</f>
        <v/>
      </c>
      <c r="AA21" s="3" t="str">
        <f>IF(Z21="","",Z21*$AA$15)</f>
        <v/>
      </c>
      <c r="AB21" s="3" t="str">
        <f>IF(COUNT(F21:J21,N21:P21,T21:V21)=0,"",SUM(M21,S21,AA21))</f>
        <v/>
      </c>
      <c r="AC21" s="1" t="str">
        <f t="array" ref="AC21">IF(AB21="","",IFERROR(INDEX(HELPER!$D$8:$D$48,IF(AB21&gt;=HELPER!$B$8,1,MATCH(AB21,HELPER!$B$8:$B$48,-1)+1)),""))</f>
        <v/>
      </c>
      <c r="AD21" t="str">
        <f t="array" ref="AD21">IF(AC21="","",IFERROR(INDEX(HELPER!$G$8:$G$48,MATCH(AC21,HELPER!$F$8:$F$48,-1)),""))</f>
        <v/>
      </c>
    </row>
    <row r="22" ht="15" customHeight="1">
      <c r="B22">
        <v>5</v>
      </c>
      <c r="C22" t="str">
        <f>IF('INPUT DATA'!K15="","",'INPUT DATA'!K15)</f>
        <v/>
      </c>
      <c r="K22" t="str">
        <f>IF(COUNT($F22:$J22)=0,"",SUM($F22:$J22))</f>
        <v/>
      </c>
      <c r="L22" s="3" t="str">
        <f>IF(COUNT(F22:J22)=0,"",IFERROR(K22/$K$15*$L$15,""))</f>
        <v/>
      </c>
      <c r="M22" s="3" t="str">
        <f>IF(L22="","",L22*$M$15)</f>
        <v/>
      </c>
      <c r="Q22" t="str">
        <f>IF(COUNT(N22:P22)=0,"",SUM(N22:P22))</f>
        <v/>
      </c>
      <c r="R22" s="3" t="str">
        <f>IF(COUNT(N22:P22)=0,"",IFERROR(Q22/$Q$15*$R$15,""))</f>
        <v/>
      </c>
      <c r="S22" s="3" t="str">
        <f>IF(R22="","",R22*$S$15)</f>
        <v/>
      </c>
      <c r="W22" s="3" t="str">
        <f>IF(T22="","",IFERROR(T22/$T$15*$W$15,""))</f>
        <v/>
      </c>
      <c r="X22" s="3" t="str">
        <f>IF(U22="","",IFERROR(U22/$U$15*$X$15,""))</f>
        <v/>
      </c>
      <c r="Y22" s="3" t="str">
        <f>IF(V22="","",IFERROR(V22/$V$15*$Y$15,""))</f>
        <v/>
      </c>
      <c r="Z22" s="3" t="str">
        <f>IF(COUNT(T22:V22)=0,"",SUM(W22:Y22))</f>
        <v/>
      </c>
      <c r="AA22" s="3" t="str">
        <f>IF(Z22="","",Z22*$AA$15)</f>
        <v/>
      </c>
      <c r="AB22" s="3" t="str">
        <f>IF(COUNT(F22:J22,N22:P22,T22:V22)=0,"",SUM(M22,S22,AA22))</f>
        <v/>
      </c>
      <c r="AC22" s="1" t="str">
        <f t="array" ref="AC22">IF(AB22="","",IFERROR(INDEX(HELPER!$D$8:$D$48,IF(AB22&gt;=HELPER!$B$8,1,MATCH(AB22,HELPER!$B$8:$B$48,-1)+1)),""))</f>
        <v/>
      </c>
      <c r="AD22" t="str">
        <f t="array" ref="AD22">IF(AC22="","",IFERROR(INDEX(HELPER!$G$8:$G$48,MATCH(AC22,HELPER!$F$8:$F$48,-1)),""))</f>
        <v/>
      </c>
    </row>
    <row r="23" ht="15" customHeight="1">
      <c r="B23">
        <v>6</v>
      </c>
      <c r="C23" t="str">
        <f>IF('INPUT DATA'!K16="","",'INPUT DATA'!K16)</f>
        <v/>
      </c>
      <c r="K23" t="str">
        <f>IF(COUNT($F23:$J23)=0,"",SUM($F23:$J23))</f>
        <v/>
      </c>
      <c r="L23" s="3" t="str">
        <f>IF(COUNT(F23:J23)=0,"",IFERROR(K23/$K$15*$L$15,""))</f>
        <v/>
      </c>
      <c r="M23" s="3" t="str">
        <f>IF(L23="","",L23*$M$15)</f>
        <v/>
      </c>
      <c r="Q23" t="str">
        <f>IF(COUNT(N23:P23)=0,"",SUM(N23:P23))</f>
        <v/>
      </c>
      <c r="R23" s="3" t="str">
        <f>IF(COUNT(N23:P23)=0,"",IFERROR(Q23/$Q$15*$R$15,""))</f>
        <v/>
      </c>
      <c r="S23" s="3" t="str">
        <f>IF(R23="","",R23*$S$15)</f>
        <v/>
      </c>
      <c r="W23" s="3" t="str">
        <f>IF(T23="","",IFERROR(T23/$T$15*$W$15,""))</f>
        <v/>
      </c>
      <c r="X23" s="3" t="str">
        <f>IF(U23="","",IFERROR(U23/$U$15*$X$15,""))</f>
        <v/>
      </c>
      <c r="Y23" s="3" t="str">
        <f>IF(V23="","",IFERROR(V23/$V$15*$Y$15,""))</f>
        <v/>
      </c>
      <c r="Z23" s="3" t="str">
        <f>IF(COUNT(T23:V23)=0,"",SUM(W23:Y23))</f>
        <v/>
      </c>
      <c r="AA23" s="3" t="str">
        <f>IF(Z23="","",Z23*$AA$15)</f>
        <v/>
      </c>
      <c r="AB23" s="3" t="str">
        <f>IF(COUNT(F23:J23,N23:P23,T23:V23)=0,"",SUM(M23,S23,AA23))</f>
        <v/>
      </c>
      <c r="AC23" s="1" t="str">
        <f t="array" ref="AC23">IF(AB23="","",IFERROR(INDEX(HELPER!$D$8:$D$48,IF(AB23&gt;=HELPER!$B$8,1,MATCH(AB23,HELPER!$B$8:$B$48,-1)+1)),""))</f>
        <v/>
      </c>
      <c r="AD23" t="str">
        <f t="array" ref="AD23">IF(AC23="","",IFERROR(INDEX(HELPER!$G$8:$G$48,MATCH(AC23,HELPER!$F$8:$F$48,-1)),""))</f>
        <v/>
      </c>
    </row>
    <row r="24" ht="15" customHeight="1">
      <c r="B24">
        <v>7</v>
      </c>
      <c r="C24" t="str">
        <f>IF('INPUT DATA'!K17="","",'INPUT DATA'!K17)</f>
        <v/>
      </c>
      <c r="K24" t="str">
        <f>IF(COUNT($F24:$J24)=0,"",SUM($F24:$J24))</f>
        <v/>
      </c>
      <c r="L24" s="3" t="str">
        <f>IF(COUNT(F24:J24)=0,"",IFERROR(K24/$K$15*$L$15,""))</f>
        <v/>
      </c>
      <c r="M24" s="3" t="str">
        <f>IF(L24="","",L24*$M$15)</f>
        <v/>
      </c>
      <c r="Q24" t="str">
        <f>IF(COUNT(N24:P24)=0,"",SUM(N24:P24))</f>
        <v/>
      </c>
      <c r="R24" s="3" t="str">
        <f>IF(COUNT(N24:P24)=0,"",IFERROR(Q24/$Q$15*$R$15,""))</f>
        <v/>
      </c>
      <c r="S24" s="3" t="str">
        <f>IF(R24="","",R24*$S$15)</f>
        <v/>
      </c>
      <c r="W24" s="3" t="str">
        <f>IF(T24="","",IFERROR(T24/$T$15*$W$15,""))</f>
        <v/>
      </c>
      <c r="X24" s="3" t="str">
        <f>IF(U24="","",IFERROR(U24/$U$15*$X$15,""))</f>
        <v/>
      </c>
      <c r="Y24" s="3" t="str">
        <f>IF(V24="","",IFERROR(V24/$V$15*$Y$15,""))</f>
        <v/>
      </c>
      <c r="Z24" s="3" t="str">
        <f>IF(COUNT(T24:V24)=0,"",SUM(W24:Y24))</f>
        <v/>
      </c>
      <c r="AA24" s="3" t="str">
        <f>IF(Z24="","",Z24*$AA$15)</f>
        <v/>
      </c>
      <c r="AB24" s="3" t="str">
        <f>IF(COUNT(F24:J24,N24:P24,T24:V24)=0,"",SUM(M24,S24,AA24))</f>
        <v/>
      </c>
      <c r="AC24" s="1" t="str">
        <f t="array" ref="AC24">IF(AB24="","",IFERROR(INDEX(HELPER!$D$8:$D$48,IF(AB24&gt;=HELPER!$B$8,1,MATCH(AB24,HELPER!$B$8:$B$48,-1)+1)),""))</f>
        <v/>
      </c>
      <c r="AD24" t="str">
        <f t="array" ref="AD24">IF(AC24="","",IFERROR(INDEX(HELPER!$G$8:$G$48,MATCH(AC24,HELPER!$F$8:$F$48,-1)),""))</f>
        <v/>
      </c>
    </row>
    <row r="25" ht="15" customHeight="1">
      <c r="B25">
        <v>8</v>
      </c>
      <c r="C25" t="str">
        <f>IF('INPUT DATA'!K18="","",'INPUT DATA'!K18)</f>
        <v/>
      </c>
      <c r="K25" t="str">
        <f>IF(COUNT($F25:$J25)=0,"",SUM($F25:$J25))</f>
        <v/>
      </c>
      <c r="L25" s="3" t="str">
        <f>IF(COUNT(F25:J25)=0,"",IFERROR(K25/$K$15*$L$15,""))</f>
        <v/>
      </c>
      <c r="M25" s="3" t="str">
        <f>IF(L25="","",L25*$M$15)</f>
        <v/>
      </c>
      <c r="Q25" t="str">
        <f>IF(COUNT(N25:P25)=0,"",SUM(N25:P25))</f>
        <v/>
      </c>
      <c r="R25" s="3" t="str">
        <f>IF(COUNT(N25:P25)=0,"",IFERROR(Q25/$Q$15*$R$15,""))</f>
        <v/>
      </c>
      <c r="S25" s="3" t="str">
        <f>IF(R25="","",R25*$S$15)</f>
        <v/>
      </c>
      <c r="W25" s="3" t="str">
        <f>IF(T25="","",IFERROR(T25/$T$15*$W$15,""))</f>
        <v/>
      </c>
      <c r="X25" s="3" t="str">
        <f>IF(U25="","",IFERROR(U25/$U$15*$X$15,""))</f>
        <v/>
      </c>
      <c r="Y25" s="3" t="str">
        <f>IF(V25="","",IFERROR(V25/$V$15*$Y$15,""))</f>
        <v/>
      </c>
      <c r="Z25" s="3" t="str">
        <f>IF(COUNT(T25:V25)=0,"",SUM(W25:Y25))</f>
        <v/>
      </c>
      <c r="AA25" s="3" t="str">
        <f>IF(Z25="","",Z25*$AA$15)</f>
        <v/>
      </c>
      <c r="AB25" s="3" t="str">
        <f>IF(COUNT(F25:J25,N25:P25,T25:V25)=0,"",SUM(M25,S25,AA25))</f>
        <v/>
      </c>
      <c r="AC25" s="1" t="str">
        <f t="array" ref="AC25">IF(AB25="","",IFERROR(INDEX(HELPER!$D$8:$D$48,IF(AB25&gt;=HELPER!$B$8,1,MATCH(AB25,HELPER!$B$8:$B$48,-1)+1)),""))</f>
        <v/>
      </c>
      <c r="AD25" t="str">
        <f t="array" ref="AD25">IF(AC25="","",IFERROR(INDEX(HELPER!$G$8:$G$48,MATCH(AC25,HELPER!$F$8:$F$48,-1)),""))</f>
        <v/>
      </c>
    </row>
    <row r="26" ht="15" customHeight="1">
      <c r="B26">
        <v>9</v>
      </c>
      <c r="C26" t="str">
        <f>IF('INPUT DATA'!K19="","",'INPUT DATA'!K19)</f>
        <v/>
      </c>
      <c r="K26" t="str">
        <f>IF(COUNT($F26:$J26)=0,"",SUM($F26:$J26))</f>
        <v/>
      </c>
      <c r="L26" s="3" t="str">
        <f>IF(COUNT(F26:J26)=0,"",IFERROR(K26/$K$15*$L$15,""))</f>
        <v/>
      </c>
      <c r="M26" s="3" t="str">
        <f>IF(L26="","",L26*$M$15)</f>
        <v/>
      </c>
      <c r="Q26" t="str">
        <f>IF(COUNT(N26:P26)=0,"",SUM(N26:P26))</f>
        <v/>
      </c>
      <c r="R26" s="3" t="str">
        <f>IF(COUNT(N26:P26)=0,"",IFERROR(Q26/$Q$15*$R$15,""))</f>
        <v/>
      </c>
      <c r="S26" s="3" t="str">
        <f>IF(R26="","",R26*$S$15)</f>
        <v/>
      </c>
      <c r="W26" s="3" t="str">
        <f>IF(T26="","",IFERROR(T26/$T$15*$W$15,""))</f>
        <v/>
      </c>
      <c r="X26" s="3" t="str">
        <f>IF(U26="","",IFERROR(U26/$U$15*$X$15,""))</f>
        <v/>
      </c>
      <c r="Y26" s="3" t="str">
        <f>IF(V26="","",IFERROR(V26/$V$15*$Y$15,""))</f>
        <v/>
      </c>
      <c r="Z26" s="3" t="str">
        <f>IF(COUNT(T26:V26)=0,"",SUM(W26:Y26))</f>
        <v/>
      </c>
      <c r="AA26" s="3" t="str">
        <f>IF(Z26="","",Z26*$AA$15)</f>
        <v/>
      </c>
      <c r="AB26" s="3" t="str">
        <f>IF(COUNT(F26:J26,N26:P26,T26:V26)=0,"",SUM(M26,S26,AA26))</f>
        <v/>
      </c>
      <c r="AC26" s="1" t="str">
        <f t="array" ref="AC26">IF(AB26="","",IFERROR(INDEX(HELPER!$D$8:$D$48,IF(AB26&gt;=HELPER!$B$8,1,MATCH(AB26,HELPER!$B$8:$B$48,-1)+1)),""))</f>
        <v/>
      </c>
      <c r="AD26" t="str">
        <f t="array" ref="AD26">IF(AC26="","",IFERROR(INDEX(HELPER!$G$8:$G$48,MATCH(AC26,HELPER!$F$8:$F$48,-1)),""))</f>
        <v/>
      </c>
    </row>
    <row r="27" ht="15" customHeight="1">
      <c r="B27">
        <v>10</v>
      </c>
      <c r="C27" t="str">
        <f>IF('INPUT DATA'!K20="","",'INPUT DATA'!K20)</f>
        <v/>
      </c>
      <c r="K27" t="str">
        <f>IF(COUNT($F27:$J27)=0,"",SUM($F27:$J27))</f>
        <v/>
      </c>
      <c r="L27" s="3" t="str">
        <f>IF(COUNT(F27:J27)=0,"",IFERROR(K27/$K$15*$L$15,""))</f>
        <v/>
      </c>
      <c r="M27" s="3" t="str">
        <f>IF(L27="","",L27*$M$15)</f>
        <v/>
      </c>
      <c r="Q27" t="str">
        <f>IF(COUNT(N27:P27)=0,"",SUM(N27:P27))</f>
        <v/>
      </c>
      <c r="R27" s="3" t="str">
        <f>IF(COUNT(N27:P27)=0,"",IFERROR(Q27/$Q$15*$R$15,""))</f>
        <v/>
      </c>
      <c r="S27" s="3" t="str">
        <f>IF(R27="","",R27*$S$15)</f>
        <v/>
      </c>
      <c r="W27" s="3" t="str">
        <f>IF(T27="","",IFERROR(T27/$T$15*$W$15,""))</f>
        <v/>
      </c>
      <c r="X27" s="3" t="str">
        <f>IF(U27="","",IFERROR(U27/$U$15*$X$15,""))</f>
        <v/>
      </c>
      <c r="Y27" s="3" t="str">
        <f>IF(V27="","",IFERROR(V27/$V$15*$Y$15,""))</f>
        <v/>
      </c>
      <c r="Z27" s="3" t="str">
        <f>IF(COUNT(T27:V27)=0,"",SUM(W27:Y27))</f>
        <v/>
      </c>
      <c r="AA27" s="3" t="str">
        <f>IF(Z27="","",Z27*$AA$15)</f>
        <v/>
      </c>
      <c r="AB27" s="3" t="str">
        <f>IF(COUNT(F27:J27,N27:P27,T27:V27)=0,"",SUM(M27,S27,AA27))</f>
        <v/>
      </c>
      <c r="AC27" s="1" t="str">
        <f t="array" ref="AC27">IF(AB27="","",IFERROR(INDEX(HELPER!$D$8:$D$48,IF(AB27&gt;=HELPER!$B$8,1,MATCH(AB27,HELPER!$B$8:$B$48,-1)+1)),""))</f>
        <v/>
      </c>
      <c r="AD27" t="str">
        <f t="array" ref="AD27">IF(AC27="","",IFERROR(INDEX(HELPER!$G$8:$G$48,MATCH(AC27,HELPER!$F$8:$F$48,-1)),""))</f>
        <v/>
      </c>
    </row>
    <row r="28" ht="15" customHeight="1">
      <c r="B28">
        <v>11</v>
      </c>
      <c r="C28" t="str">
        <f>IF('INPUT DATA'!K21="","",'INPUT DATA'!K21)</f>
        <v/>
      </c>
      <c r="K28" t="str">
        <f>IF(COUNT($F28:$J28)=0,"",SUM($F28:$J28))</f>
        <v/>
      </c>
      <c r="L28" s="3" t="str">
        <f>IF(COUNT(F28:J28)=0,"",IFERROR(K28/$K$15*$L$15,""))</f>
        <v/>
      </c>
      <c r="M28" s="3" t="str">
        <f>IF(L28="","",L28*$M$15)</f>
        <v/>
      </c>
      <c r="Q28" t="str">
        <f>IF(COUNT(N28:P28)=0,"",SUM(N28:P28))</f>
        <v/>
      </c>
      <c r="R28" s="3" t="str">
        <f>IF(COUNT(N28:P28)=0,"",IFERROR(Q28/$Q$15*$R$15,""))</f>
        <v/>
      </c>
      <c r="S28" s="3" t="str">
        <f>IF(R28="","",R28*$S$15)</f>
        <v/>
      </c>
      <c r="W28" s="3" t="str">
        <f>IF(T28="","",IFERROR(T28/$T$15*$W$15,""))</f>
        <v/>
      </c>
      <c r="X28" s="3" t="str">
        <f>IF(U28="","",IFERROR(U28/$U$15*$X$15,""))</f>
        <v/>
      </c>
      <c r="Y28" s="3" t="str">
        <f>IF(V28="","",IFERROR(V28/$V$15*$Y$15,""))</f>
        <v/>
      </c>
      <c r="Z28" s="3" t="str">
        <f>IF(COUNT(T28:V28)=0,"",SUM(W28:Y28))</f>
        <v/>
      </c>
      <c r="AA28" s="3" t="str">
        <f>IF(Z28="","",Z28*$AA$15)</f>
        <v/>
      </c>
      <c r="AB28" s="3" t="str">
        <f>IF(COUNT(F28:J28,N28:P28,T28:V28)=0,"",SUM(M28,S28,AA28))</f>
        <v/>
      </c>
      <c r="AC28" s="1" t="str">
        <f t="array" ref="AC28">IF(AB28="","",IFERROR(INDEX(HELPER!$D$8:$D$48,IF(AB28&gt;=HELPER!$B$8,1,MATCH(AB28,HELPER!$B$8:$B$48,-1)+1)),""))</f>
        <v/>
      </c>
      <c r="AD28" t="str">
        <f t="array" ref="AD28">IF(AC28="","",IFERROR(INDEX(HELPER!$G$8:$G$48,MATCH(AC28,HELPER!$F$8:$F$48,-1)),""))</f>
        <v/>
      </c>
    </row>
    <row r="29" ht="15" customHeight="1">
      <c r="B29">
        <v>12</v>
      </c>
      <c r="C29" t="str">
        <f>IF('INPUT DATA'!K22="","",'INPUT DATA'!K22)</f>
        <v/>
      </c>
      <c r="K29" t="str">
        <f>IF(COUNT($F29:$J29)=0,"",SUM($F29:$J29))</f>
        <v/>
      </c>
      <c r="L29" s="3" t="str">
        <f>IF(COUNT(F29:J29)=0,"",IFERROR(K29/$K$15*$L$15,""))</f>
        <v/>
      </c>
      <c r="M29" s="3" t="str">
        <f>IF(L29="","",L29*$M$15)</f>
        <v/>
      </c>
      <c r="Q29" t="str">
        <f>IF(COUNT(N29:P29)=0,"",SUM(N29:P29))</f>
        <v/>
      </c>
      <c r="R29" s="3" t="str">
        <f>IF(COUNT(N29:P29)=0,"",IFERROR(Q29/$Q$15*$R$15,""))</f>
        <v/>
      </c>
      <c r="S29" s="3" t="str">
        <f>IF(R29="","",R29*$S$15)</f>
        <v/>
      </c>
      <c r="W29" s="3" t="str">
        <f>IF(T29="","",IFERROR(T29/$T$15*$W$15,""))</f>
        <v/>
      </c>
      <c r="X29" s="3" t="str">
        <f>IF(U29="","",IFERROR(U29/$U$15*$X$15,""))</f>
        <v/>
      </c>
      <c r="Y29" s="3" t="str">
        <f>IF(V29="","",IFERROR(V29/$V$15*$Y$15,""))</f>
        <v/>
      </c>
      <c r="Z29" s="3" t="str">
        <f>IF(COUNT(T29:V29)=0,"",SUM(W29:Y29))</f>
        <v/>
      </c>
      <c r="AA29" s="3" t="str">
        <f>IF(Z29="","",Z29*$AA$15)</f>
        <v/>
      </c>
      <c r="AB29" s="3" t="str">
        <f>IF(COUNT(F29:J29,N29:P29,T29:V29)=0,"",SUM(M29,S29,AA29))</f>
        <v/>
      </c>
      <c r="AC29" s="1" t="str">
        <f t="array" ref="AC29">IF(AB29="","",IFERROR(INDEX(HELPER!$D$8:$D$48,IF(AB29&gt;=HELPER!$B$8,1,MATCH(AB29,HELPER!$B$8:$B$48,-1)+1)),""))</f>
        <v/>
      </c>
      <c r="AD29" t="str">
        <f t="array" ref="AD29">IF(AC29="","",IFERROR(INDEX(HELPER!$G$8:$G$48,MATCH(AC29,HELPER!$F$8:$F$48,-1)),""))</f>
        <v/>
      </c>
    </row>
    <row r="30" ht="15" customHeight="1">
      <c r="B30">
        <v>13</v>
      </c>
      <c r="C30" t="str">
        <f>IF('INPUT DATA'!K23="","",'INPUT DATA'!K23)</f>
        <v/>
      </c>
      <c r="K30" t="str">
        <f>IF(COUNT($F30:$J30)=0,"",SUM($F30:$J30))</f>
        <v/>
      </c>
      <c r="L30" s="3" t="str">
        <f>IF(COUNT(F30:J30)=0,"",IFERROR(K30/$K$15*$L$15,""))</f>
        <v/>
      </c>
      <c r="M30" s="3" t="str">
        <f>IF(L30="","",L30*$M$15)</f>
        <v/>
      </c>
      <c r="Q30" t="str">
        <f>IF(COUNT(N30:P30)=0,"",SUM(N30:P30))</f>
        <v/>
      </c>
      <c r="R30" s="3" t="str">
        <f>IF(COUNT(N30:P30)=0,"",IFERROR(Q30/$Q$15*$R$15,""))</f>
        <v/>
      </c>
      <c r="S30" s="3" t="str">
        <f>IF(R30="","",R30*$S$15)</f>
        <v/>
      </c>
      <c r="W30" s="3" t="str">
        <f>IF(T30="","",IFERROR(T30/$T$15*$W$15,""))</f>
        <v/>
      </c>
      <c r="X30" s="3" t="str">
        <f>IF(U30="","",IFERROR(U30/$U$15*$X$15,""))</f>
        <v/>
      </c>
      <c r="Y30" s="3" t="str">
        <f>IF(V30="","",IFERROR(V30/$V$15*$Y$15,""))</f>
        <v/>
      </c>
      <c r="Z30" s="3" t="str">
        <f>IF(COUNT(T30:V30)=0,"",SUM(W30:Y30))</f>
        <v/>
      </c>
      <c r="AA30" s="3" t="str">
        <f>IF(Z30="","",Z30*$AA$15)</f>
        <v/>
      </c>
      <c r="AB30" s="3" t="str">
        <f>IF(COUNT(F30:J30,N30:P30,T30:V30)=0,"",SUM(M30,S30,AA30))</f>
        <v/>
      </c>
      <c r="AC30" s="1" t="str">
        <f t="array" ref="AC30">IF(AB30="","",IFERROR(INDEX(HELPER!$D$8:$D$48,IF(AB30&gt;=HELPER!$B$8,1,MATCH(AB30,HELPER!$B$8:$B$48,-1)+1)),""))</f>
        <v/>
      </c>
      <c r="AD30" t="str">
        <f t="array" ref="AD30">IF(AC30="","",IFERROR(INDEX(HELPER!$G$8:$G$48,MATCH(AC30,HELPER!$F$8:$F$48,-1)),""))</f>
        <v/>
      </c>
    </row>
    <row r="31" ht="15" customHeight="1">
      <c r="B31">
        <v>14</v>
      </c>
      <c r="C31" t="str">
        <f>IF('INPUT DATA'!K24="","",'INPUT DATA'!K24)</f>
        <v/>
      </c>
      <c r="K31" t="str">
        <f>IF(COUNT($F31:$J31)=0,"",SUM($F31:$J31))</f>
        <v/>
      </c>
      <c r="L31" s="3" t="str">
        <f>IF(COUNT(F31:J31)=0,"",IFERROR(K31/$K$15*$L$15,""))</f>
        <v/>
      </c>
      <c r="M31" s="3" t="str">
        <f>IF(L31="","",L31*$M$15)</f>
        <v/>
      </c>
      <c r="Q31" t="str">
        <f>IF(COUNT(N31:P31)=0,"",SUM(N31:P31))</f>
        <v/>
      </c>
      <c r="R31" s="3" t="str">
        <f>IF(COUNT(N31:P31)=0,"",IFERROR(Q31/$Q$15*$R$15,""))</f>
        <v/>
      </c>
      <c r="S31" s="3" t="str">
        <f>IF(R31="","",R31*$S$15)</f>
        <v/>
      </c>
      <c r="W31" s="3" t="str">
        <f>IF(T31="","",IFERROR(T31/$T$15*$W$15,""))</f>
        <v/>
      </c>
      <c r="X31" s="3" t="str">
        <f>IF(U31="","",IFERROR(U31/$U$15*$X$15,""))</f>
        <v/>
      </c>
      <c r="Y31" s="3" t="str">
        <f>IF(V31="","",IFERROR(V31/$V$15*$Y$15,""))</f>
        <v/>
      </c>
      <c r="Z31" s="3" t="str">
        <f>IF(COUNT(T31:V31)=0,"",SUM(W31:Y31))</f>
        <v/>
      </c>
      <c r="AA31" s="3" t="str">
        <f>IF(Z31="","",Z31*$AA$15)</f>
        <v/>
      </c>
      <c r="AB31" s="3" t="str">
        <f>IF(COUNT(F31:J31,N31:P31,T31:V31)=0,"",SUM(M31,S31,AA31))</f>
        <v/>
      </c>
      <c r="AC31" s="1" t="str">
        <f t="array" ref="AC31">IF(AB31="","",IFERROR(INDEX(HELPER!$D$8:$D$48,IF(AB31&gt;=HELPER!$B$8,1,MATCH(AB31,HELPER!$B$8:$B$48,-1)+1)),""))</f>
        <v/>
      </c>
      <c r="AD31" t="str">
        <f t="array" ref="AD31">IF(AC31="","",IFERROR(INDEX(HELPER!$G$8:$G$48,MATCH(AC31,HELPER!$F$8:$F$48,-1)),""))</f>
        <v/>
      </c>
    </row>
    <row r="32" ht="15" customHeight="1">
      <c r="B32">
        <v>15</v>
      </c>
      <c r="C32" t="str">
        <f>IF('INPUT DATA'!K25="","",'INPUT DATA'!K25)</f>
        <v/>
      </c>
      <c r="K32" t="str">
        <f>IF(COUNT($F32:$J32)=0,"",SUM($F32:$J32))</f>
        <v/>
      </c>
      <c r="L32" s="3" t="str">
        <f>IF(COUNT(F32:J32)=0,"",IFERROR(K32/$K$15*$L$15,""))</f>
        <v/>
      </c>
      <c r="M32" s="3" t="str">
        <f>IF(L32="","",L32*$M$15)</f>
        <v/>
      </c>
      <c r="Q32" t="str">
        <f>IF(COUNT(N32:P32)=0,"",SUM(N32:P32))</f>
        <v/>
      </c>
      <c r="R32" s="3" t="str">
        <f>IF(COUNT(N32:P32)=0,"",IFERROR(Q32/$Q$15*$R$15,""))</f>
        <v/>
      </c>
      <c r="S32" s="3" t="str">
        <f>IF(R32="","",R32*$S$15)</f>
        <v/>
      </c>
      <c r="W32" s="3" t="str">
        <f>IF(T32="","",IFERROR(T32/$T$15*$W$15,""))</f>
        <v/>
      </c>
      <c r="X32" s="3" t="str">
        <f>IF(U32="","",IFERROR(U32/$U$15*$X$15,""))</f>
        <v/>
      </c>
      <c r="Y32" s="3" t="str">
        <f>IF(V32="","",IFERROR(V32/$V$15*$Y$15,""))</f>
        <v/>
      </c>
      <c r="Z32" s="3" t="str">
        <f>IF(COUNT(T32:V32)=0,"",SUM(W32:Y32))</f>
        <v/>
      </c>
      <c r="AA32" s="3" t="str">
        <f>IF(Z32="","",Z32*$AA$15)</f>
        <v/>
      </c>
      <c r="AB32" s="3" t="str">
        <f>IF(COUNT(F32:J32,N32:P32,T32:V32)=0,"",SUM(M32,S32,AA32))</f>
        <v/>
      </c>
      <c r="AC32" s="1" t="str">
        <f t="array" ref="AC32">IF(AB32="","",IFERROR(INDEX(HELPER!$D$8:$D$48,IF(AB32&gt;=HELPER!$B$8,1,MATCH(AB32,HELPER!$B$8:$B$48,-1)+1)),""))</f>
        <v/>
      </c>
      <c r="AD32" t="str">
        <f t="array" ref="AD32">IF(AC32="","",IFERROR(INDEX(HELPER!$G$8:$G$48,MATCH(AC32,HELPER!$F$8:$F$48,-1)),""))</f>
        <v/>
      </c>
    </row>
    <row r="33" ht="15" customHeight="1">
      <c r="B33">
        <v>16</v>
      </c>
      <c r="C33" t="str">
        <f>IF('INPUT DATA'!K26="","",'INPUT DATA'!K26)</f>
        <v/>
      </c>
      <c r="K33" t="str">
        <f>IF(COUNT($F33:$J33)=0,"",SUM($F33:$J33))</f>
        <v/>
      </c>
      <c r="L33" s="3" t="str">
        <f>IF(COUNT(F33:J33)=0,"",IFERROR(K33/$K$15*$L$15,""))</f>
        <v/>
      </c>
      <c r="M33" s="3" t="str">
        <f>IF(L33="","",L33*$M$15)</f>
        <v/>
      </c>
      <c r="Q33" t="str">
        <f>IF(COUNT(N33:P33)=0,"",SUM(N33:P33))</f>
        <v/>
      </c>
      <c r="R33" s="3" t="str">
        <f>IF(COUNT(N33:P33)=0,"",IFERROR(Q33/$Q$15*$R$15,""))</f>
        <v/>
      </c>
      <c r="S33" s="3" t="str">
        <f>IF(R33="","",R33*$S$15)</f>
        <v/>
      </c>
      <c r="W33" s="3" t="str">
        <f>IF(T33="","",IFERROR(T33/$T$15*$W$15,""))</f>
        <v/>
      </c>
      <c r="X33" s="3" t="str">
        <f>IF(U33="","",IFERROR(U33/$U$15*$X$15,""))</f>
        <v/>
      </c>
      <c r="Y33" s="3" t="str">
        <f>IF(V33="","",IFERROR(V33/$V$15*$Y$15,""))</f>
        <v/>
      </c>
      <c r="Z33" s="3" t="str">
        <f>IF(COUNT(T33:V33)=0,"",SUM(W33:Y33))</f>
        <v/>
      </c>
      <c r="AA33" s="3" t="str">
        <f>IF(Z33="","",Z33*$AA$15)</f>
        <v/>
      </c>
      <c r="AB33" s="3" t="str">
        <f>IF(COUNT(F33:J33,N33:P33,T33:V33)=0,"",SUM(M33,S33,AA33))</f>
        <v/>
      </c>
      <c r="AC33" s="1" t="str">
        <f t="array" ref="AC33">IF(AB33="","",IFERROR(INDEX(HELPER!$D$8:$D$48,IF(AB33&gt;=HELPER!$B$8,1,MATCH(AB33,HELPER!$B$8:$B$48,-1)+1)),""))</f>
        <v/>
      </c>
      <c r="AD33" t="str">
        <f t="array" ref="AD33">IF(AC33="","",IFERROR(INDEX(HELPER!$G$8:$G$48,MATCH(AC33,HELPER!$F$8:$F$48,-1)),""))</f>
        <v/>
      </c>
    </row>
    <row r="34" ht="15" customHeight="1">
      <c r="B34">
        <v>17</v>
      </c>
      <c r="C34" t="str">
        <f>IF('INPUT DATA'!K27="","",'INPUT DATA'!K27)</f>
        <v/>
      </c>
      <c r="K34" t="str">
        <f>IF(COUNT($F34:$J34)=0,"",SUM($F34:$J34))</f>
        <v/>
      </c>
      <c r="L34" s="3" t="str">
        <f>IF(COUNT(F34:J34)=0,"",IFERROR(K34/$K$15*$L$15,""))</f>
        <v/>
      </c>
      <c r="M34" s="3" t="str">
        <f>IF(L34="","",L34*$M$15)</f>
        <v/>
      </c>
      <c r="Q34" t="str">
        <f>IF(COUNT(N34:P34)=0,"",SUM(N34:P34))</f>
        <v/>
      </c>
      <c r="R34" s="3" t="str">
        <f>IF(COUNT(N34:P34)=0,"",IFERROR(Q34/$Q$15*$R$15,""))</f>
        <v/>
      </c>
      <c r="S34" s="3" t="str">
        <f>IF(R34="","",R34*$S$15)</f>
        <v/>
      </c>
      <c r="W34" s="3" t="str">
        <f>IF(T34="","",IFERROR(T34/$T$15*$W$15,""))</f>
        <v/>
      </c>
      <c r="X34" s="3" t="str">
        <f>IF(U34="","",IFERROR(U34/$U$15*$X$15,""))</f>
        <v/>
      </c>
      <c r="Y34" s="3" t="str">
        <f>IF(V34="","",IFERROR(V34/$V$15*$Y$15,""))</f>
        <v/>
      </c>
      <c r="Z34" s="3" t="str">
        <f>IF(COUNT(T34:V34)=0,"",SUM(W34:Y34))</f>
        <v/>
      </c>
      <c r="AA34" s="3" t="str">
        <f>IF(Z34="","",Z34*$AA$15)</f>
        <v/>
      </c>
      <c r="AB34" s="3" t="str">
        <f>IF(COUNT(F34:J34,N34:P34,T34:V34)=0,"",SUM(M34,S34,AA34))</f>
        <v/>
      </c>
      <c r="AC34" s="1" t="str">
        <f t="array" ref="AC34">IF(AB34="","",IFERROR(INDEX(HELPER!$D$8:$D$48,IF(AB34&gt;=HELPER!$B$8,1,MATCH(AB34,HELPER!$B$8:$B$48,-1)+1)),""))</f>
        <v/>
      </c>
      <c r="AD34" t="str">
        <f t="array" ref="AD34">IF(AC34="","",IFERROR(INDEX(HELPER!$G$8:$G$48,MATCH(AC34,HELPER!$F$8:$F$48,-1)),""))</f>
        <v/>
      </c>
    </row>
    <row r="35" ht="15" customHeight="1">
      <c r="B35">
        <v>18</v>
      </c>
      <c r="C35" t="str">
        <f>IF('INPUT DATA'!K28="","",'INPUT DATA'!K28)</f>
        <v/>
      </c>
      <c r="K35" t="str">
        <f>IF(COUNT($F35:$J35)=0,"",SUM($F35:$J35))</f>
        <v/>
      </c>
      <c r="L35" s="3" t="str">
        <f>IF(COUNT(F35:J35)=0,"",IFERROR(K35/$K$15*$L$15,""))</f>
        <v/>
      </c>
      <c r="M35" s="3" t="str">
        <f>IF(L35="","",L35*$M$15)</f>
        <v/>
      </c>
      <c r="Q35" t="str">
        <f>IF(COUNT(N35:P35)=0,"",SUM(N35:P35))</f>
        <v/>
      </c>
      <c r="R35" s="3" t="str">
        <f>IF(COUNT(N35:P35)=0,"",IFERROR(Q35/$Q$15*$R$15,""))</f>
        <v/>
      </c>
      <c r="S35" s="3" t="str">
        <f>IF(R35="","",R35*$S$15)</f>
        <v/>
      </c>
      <c r="W35" s="3" t="str">
        <f>IF(T35="","",IFERROR(T35/$T$15*$W$15,""))</f>
        <v/>
      </c>
      <c r="X35" s="3" t="str">
        <f>IF(U35="","",IFERROR(U35/$U$15*$X$15,""))</f>
        <v/>
      </c>
      <c r="Y35" s="3" t="str">
        <f>IF(V35="","",IFERROR(V35/$V$15*$Y$15,""))</f>
        <v/>
      </c>
      <c r="Z35" s="3" t="str">
        <f>IF(COUNT(T35:V35)=0,"",SUM(W35:Y35))</f>
        <v/>
      </c>
      <c r="AA35" s="3" t="str">
        <f>IF(Z35="","",Z35*$AA$15)</f>
        <v/>
      </c>
      <c r="AB35" s="3" t="str">
        <f>IF(COUNT(F35:J35,N35:P35,T35:V35)=0,"",SUM(M35,S35,AA35))</f>
        <v/>
      </c>
      <c r="AC35" s="1" t="str">
        <f t="array" ref="AC35">IF(AB35="","",IFERROR(INDEX(HELPER!$D$8:$D$48,IF(AB35&gt;=HELPER!$B$8,1,MATCH(AB35,HELPER!$B$8:$B$48,-1)+1)),""))</f>
        <v/>
      </c>
      <c r="AD35" t="str">
        <f t="array" ref="AD35">IF(AC35="","",IFERROR(INDEX(HELPER!$G$8:$G$48,MATCH(AC35,HELPER!$F$8:$F$48,-1)),""))</f>
        <v/>
      </c>
    </row>
    <row r="36" ht="15" customHeight="1">
      <c r="B36">
        <v>19</v>
      </c>
      <c r="C36" t="str">
        <f>IF('INPUT DATA'!K29="","",'INPUT DATA'!K29)</f>
        <v/>
      </c>
      <c r="K36" t="str">
        <f>IF(COUNT($F36:$J36)=0,"",SUM($F36:$J36))</f>
        <v/>
      </c>
      <c r="L36" s="3" t="str">
        <f>IF(COUNT(F36:J36)=0,"",IFERROR(K36/$K$15*$L$15,""))</f>
        <v/>
      </c>
      <c r="M36" s="3" t="str">
        <f>IF(L36="","",L36*$M$15)</f>
        <v/>
      </c>
      <c r="Q36" t="str">
        <f>IF(COUNT(N36:P36)=0,"",SUM(N36:P36))</f>
        <v/>
      </c>
      <c r="R36" s="3" t="str">
        <f>IF(COUNT(N36:P36)=0,"",IFERROR(Q36/$Q$15*$R$15,""))</f>
        <v/>
      </c>
      <c r="S36" s="3" t="str">
        <f>IF(R36="","",R36*$S$15)</f>
        <v/>
      </c>
      <c r="W36" s="3" t="str">
        <f>IF(T36="","",IFERROR(T36/$T$15*$W$15,""))</f>
        <v/>
      </c>
      <c r="X36" s="3" t="str">
        <f>IF(U36="","",IFERROR(U36/$U$15*$X$15,""))</f>
        <v/>
      </c>
      <c r="Y36" s="3" t="str">
        <f>IF(V36="","",IFERROR(V36/$V$15*$Y$15,""))</f>
        <v/>
      </c>
      <c r="Z36" s="3" t="str">
        <f>IF(COUNT(T36:V36)=0,"",SUM(W36:Y36))</f>
        <v/>
      </c>
      <c r="AA36" s="3" t="str">
        <f>IF(Z36="","",Z36*$AA$15)</f>
        <v/>
      </c>
      <c r="AB36" s="3" t="str">
        <f>IF(COUNT(F36:J36,N36:P36,T36:V36)=0,"",SUM(M36,S36,AA36))</f>
        <v/>
      </c>
      <c r="AC36" s="1" t="str">
        <f t="array" ref="AC36">IF(AB36="","",IFERROR(INDEX(HELPER!$D$8:$D$48,IF(AB36&gt;=HELPER!$B$8,1,MATCH(AB36,HELPER!$B$8:$B$48,-1)+1)),""))</f>
        <v/>
      </c>
      <c r="AD36" t="str">
        <f t="array" ref="AD36">IF(AC36="","",IFERROR(INDEX(HELPER!$G$8:$G$48,MATCH(AC36,HELPER!$F$8:$F$48,-1)),""))</f>
        <v/>
      </c>
    </row>
    <row r="37" ht="15" customHeight="1">
      <c r="B37">
        <v>20</v>
      </c>
      <c r="C37" t="str">
        <f>IF('INPUT DATA'!K30="","",'INPUT DATA'!K30)</f>
        <v/>
      </c>
      <c r="K37" t="str">
        <f>IF(COUNT($F37:$J37)=0,"",SUM($F37:$J37))</f>
        <v/>
      </c>
      <c r="L37" s="3" t="str">
        <f>IF(COUNT(F37:J37)=0,"",IFERROR(K37/$K$15*$L$15,""))</f>
        <v/>
      </c>
      <c r="M37" s="3" t="str">
        <f>IF(L37="","",L37*$M$15)</f>
        <v/>
      </c>
      <c r="Q37" t="str">
        <f>IF(COUNT(N37:P37)=0,"",SUM(N37:P37))</f>
        <v/>
      </c>
      <c r="R37" s="3" t="str">
        <f>IF(COUNT(N37:P37)=0,"",IFERROR(Q37/$Q$15*$R$15,""))</f>
        <v/>
      </c>
      <c r="S37" s="3" t="str">
        <f>IF(R37="","",R37*$S$15)</f>
        <v/>
      </c>
      <c r="W37" s="3" t="str">
        <f>IF(T37="","",IFERROR(T37/$T$15*$W$15,""))</f>
        <v/>
      </c>
      <c r="X37" s="3" t="str">
        <f>IF(U37="","",IFERROR(U37/$U$15*$X$15,""))</f>
        <v/>
      </c>
      <c r="Y37" s="3" t="str">
        <f>IF(V37="","",IFERROR(V37/$V$15*$Y$15,""))</f>
        <v/>
      </c>
      <c r="Z37" s="3" t="str">
        <f>IF(COUNT(T37:V37)=0,"",SUM(W37:Y37))</f>
        <v/>
      </c>
      <c r="AA37" s="3" t="str">
        <f>IF(Z37="","",Z37*$AA$15)</f>
        <v/>
      </c>
      <c r="AB37" s="3" t="str">
        <f>IF(COUNT(F37:J37,N37:P37,T37:V37)=0,"",SUM(M37,S37,AA37))</f>
        <v/>
      </c>
      <c r="AC37" s="1" t="str">
        <f t="array" ref="AC37">IF(AB37="","",IFERROR(INDEX(HELPER!$D$8:$D$48,IF(AB37&gt;=HELPER!$B$8,1,MATCH(AB37,HELPER!$B$8:$B$48,-1)+1)),""))</f>
        <v/>
      </c>
      <c r="AD37" t="str">
        <f t="array" ref="AD37">IF(AC37="","",IFERROR(INDEX(HELPER!$G$8:$G$48,MATCH(AC37,HELPER!$F$8:$F$48,-1)),""))</f>
        <v/>
      </c>
    </row>
    <row r="38" ht="15" customHeight="1">
      <c r="B38">
        <v>21</v>
      </c>
      <c r="C38" t="str">
        <f>IF('INPUT DATA'!K31="","",'INPUT DATA'!K31)</f>
        <v/>
      </c>
      <c r="K38" t="str">
        <f>IF(COUNT($F38:$J38)=0,"",SUM($F38:$J38))</f>
        <v/>
      </c>
      <c r="L38" s="3" t="str">
        <f>IF(COUNT(F38:J38)=0,"",IFERROR(K38/$K$15*$L$15,""))</f>
        <v/>
      </c>
      <c r="M38" s="3" t="str">
        <f>IF(L38="","",L38*$M$15)</f>
        <v/>
      </c>
      <c r="Q38" t="str">
        <f>IF(COUNT(N38:P38)=0,"",SUM(N38:P38))</f>
        <v/>
      </c>
      <c r="R38" s="3" t="str">
        <f>IF(COUNT(N38:P38)=0,"",IFERROR(Q38/$Q$15*$R$15,""))</f>
        <v/>
      </c>
      <c r="S38" s="3" t="str">
        <f>IF(R38="","",R38*$S$15)</f>
        <v/>
      </c>
      <c r="W38" s="3" t="str">
        <f>IF(T38="","",IFERROR(T38/$T$15*$W$15,""))</f>
        <v/>
      </c>
      <c r="X38" s="3" t="str">
        <f>IF(U38="","",IFERROR(U38/$U$15*$X$15,""))</f>
        <v/>
      </c>
      <c r="Y38" s="3" t="str">
        <f>IF(V38="","",IFERROR(V38/$V$15*$Y$15,""))</f>
        <v/>
      </c>
      <c r="Z38" s="3" t="str">
        <f>IF(COUNT(T38:V38)=0,"",SUM(W38:Y38))</f>
        <v/>
      </c>
      <c r="AA38" s="3" t="str">
        <f>IF(Z38="","",Z38*$AA$15)</f>
        <v/>
      </c>
      <c r="AB38" s="3" t="str">
        <f>IF(COUNT(F38:J38,N38:P38,T38:V38)=0,"",SUM(M38,S38,AA38))</f>
        <v/>
      </c>
      <c r="AC38" s="1" t="str">
        <f t="array" ref="AC38">IF(AB38="","",IFERROR(INDEX(HELPER!$D$8:$D$48,IF(AB38&gt;=HELPER!$B$8,1,MATCH(AB38,HELPER!$B$8:$B$48,-1)+1)),""))</f>
        <v/>
      </c>
      <c r="AD38" t="str">
        <f t="array" ref="AD38">IF(AC38="","",IFERROR(INDEX(HELPER!$G$8:$G$48,MATCH(AC38,HELPER!$F$8:$F$48,-1)),""))</f>
        <v/>
      </c>
    </row>
    <row r="39" ht="15" customHeight="1">
      <c r="B39">
        <v>22</v>
      </c>
      <c r="C39" t="str">
        <f>IF('INPUT DATA'!K32="","",'INPUT DATA'!K32)</f>
        <v/>
      </c>
      <c r="K39" t="str">
        <f>IF(COUNT($F39:$J39)=0,"",SUM($F39:$J39))</f>
        <v/>
      </c>
      <c r="L39" s="3" t="str">
        <f>IF(COUNT(F39:J39)=0,"",IFERROR(K39/$K$15*$L$15,""))</f>
        <v/>
      </c>
      <c r="M39" s="3" t="str">
        <f>IF(L39="","",L39*$M$15)</f>
        <v/>
      </c>
      <c r="Q39" t="str">
        <f>IF(COUNT(N39:P39)=0,"",SUM(N39:P39))</f>
        <v/>
      </c>
      <c r="R39" s="3" t="str">
        <f>IF(COUNT(N39:P39)=0,"",IFERROR(Q39/$Q$15*$R$15,""))</f>
        <v/>
      </c>
      <c r="S39" s="3" t="str">
        <f>IF(R39="","",R39*$S$15)</f>
        <v/>
      </c>
      <c r="W39" s="3" t="str">
        <f>IF(T39="","",IFERROR(T39/$T$15*$W$15,""))</f>
        <v/>
      </c>
      <c r="X39" s="3" t="str">
        <f>IF(U39="","",IFERROR(U39/$U$15*$X$15,""))</f>
        <v/>
      </c>
      <c r="Y39" s="3" t="str">
        <f>IF(V39="","",IFERROR(V39/$V$15*$Y$15,""))</f>
        <v/>
      </c>
      <c r="Z39" s="3" t="str">
        <f>IF(COUNT(T39:V39)=0,"",SUM(W39:Y39))</f>
        <v/>
      </c>
      <c r="AA39" s="3" t="str">
        <f>IF(Z39="","",Z39*$AA$15)</f>
        <v/>
      </c>
      <c r="AB39" s="3" t="str">
        <f>IF(COUNT(F39:J39,N39:P39,T39:V39)=0,"",SUM(M39,S39,AA39))</f>
        <v/>
      </c>
      <c r="AC39" s="1" t="str">
        <f t="array" ref="AC39">IF(AB39="","",IFERROR(INDEX(HELPER!$D$8:$D$48,IF(AB39&gt;=HELPER!$B$8,1,MATCH(AB39,HELPER!$B$8:$B$48,-1)+1)),""))</f>
        <v/>
      </c>
      <c r="AD39" t="str">
        <f t="array" ref="AD39">IF(AC39="","",IFERROR(INDEX(HELPER!$G$8:$G$48,MATCH(AC39,HELPER!$F$8:$F$48,-1)),""))</f>
        <v/>
      </c>
    </row>
    <row r="40" ht="15" customHeight="1">
      <c r="B40">
        <v>23</v>
      </c>
      <c r="C40" t="str">
        <f>IF('INPUT DATA'!K33="","",'INPUT DATA'!K33)</f>
        <v/>
      </c>
      <c r="K40" t="str">
        <f>IF(COUNT($F40:$J40)=0,"",SUM($F40:$J40))</f>
        <v/>
      </c>
      <c r="L40" s="3" t="str">
        <f>IF(COUNT(F40:J40)=0,"",IFERROR(K40/$K$15*$L$15,""))</f>
        <v/>
      </c>
      <c r="M40" s="3" t="str">
        <f>IF(L40="","",L40*$M$15)</f>
        <v/>
      </c>
      <c r="Q40" t="str">
        <f>IF(COUNT(N40:P40)=0,"",SUM(N40:P40))</f>
        <v/>
      </c>
      <c r="R40" s="3" t="str">
        <f>IF(COUNT(N40:P40)=0,"",IFERROR(Q40/$Q$15*$R$15,""))</f>
        <v/>
      </c>
      <c r="S40" s="3" t="str">
        <f>IF(R40="","",R40*$S$15)</f>
        <v/>
      </c>
      <c r="W40" s="3" t="str">
        <f>IF(T40="","",IFERROR(T40/$T$15*$W$15,""))</f>
        <v/>
      </c>
      <c r="X40" s="3" t="str">
        <f>IF(U40="","",IFERROR(U40/$U$15*$X$15,""))</f>
        <v/>
      </c>
      <c r="Y40" s="3" t="str">
        <f>IF(V40="","",IFERROR(V40/$V$15*$Y$15,""))</f>
        <v/>
      </c>
      <c r="Z40" s="3" t="str">
        <f>IF(COUNT(T40:V40)=0,"",SUM(W40:Y40))</f>
        <v/>
      </c>
      <c r="AA40" s="3" t="str">
        <f>IF(Z40="","",Z40*$AA$15)</f>
        <v/>
      </c>
      <c r="AB40" s="3" t="str">
        <f>IF(COUNT(F40:J40,N40:P40,T40:V40)=0,"",SUM(M40,S40,AA40))</f>
        <v/>
      </c>
      <c r="AC40" s="1" t="str">
        <f t="array" ref="AC40">IF(AB40="","",IFERROR(INDEX(HELPER!$D$8:$D$48,IF(AB40&gt;=HELPER!$B$8,1,MATCH(AB40,HELPER!$B$8:$B$48,-1)+1)),""))</f>
        <v/>
      </c>
      <c r="AD40" t="str">
        <f t="array" ref="AD40">IF(AC40="","",IFERROR(INDEX(HELPER!$G$8:$G$48,MATCH(AC40,HELPER!$F$8:$F$48,-1)),""))</f>
        <v/>
      </c>
    </row>
    <row r="41" ht="15" customHeight="1">
      <c r="B41">
        <v>24</v>
      </c>
      <c r="C41" t="str">
        <f>IF('INPUT DATA'!K34="","",'INPUT DATA'!K34)</f>
        <v/>
      </c>
      <c r="K41" t="str">
        <f>IF(COUNT($F41:$J41)=0,"",SUM($F41:$J41))</f>
        <v/>
      </c>
      <c r="L41" s="3" t="str">
        <f>IF(COUNT(F41:J41)=0,"",IFERROR(K41/$K$15*$L$15,""))</f>
        <v/>
      </c>
      <c r="M41" s="3" t="str">
        <f>IF(L41="","",L41*$M$15)</f>
        <v/>
      </c>
      <c r="Q41" t="str">
        <f>IF(COUNT(N41:P41)=0,"",SUM(N41:P41))</f>
        <v/>
      </c>
      <c r="R41" s="3" t="str">
        <f>IF(COUNT(N41:P41)=0,"",IFERROR(Q41/$Q$15*$R$15,""))</f>
        <v/>
      </c>
      <c r="S41" s="3" t="str">
        <f>IF(R41="","",R41*$S$15)</f>
        <v/>
      </c>
      <c r="W41" s="3" t="str">
        <f>IF(T41="","",IFERROR(T41/$T$15*$W$15,""))</f>
        <v/>
      </c>
      <c r="X41" s="3" t="str">
        <f>IF(U41="","",IFERROR(U41/$U$15*$X$15,""))</f>
        <v/>
      </c>
      <c r="Y41" s="3" t="str">
        <f>IF(V41="","",IFERROR(V41/$V$15*$Y$15,""))</f>
        <v/>
      </c>
      <c r="Z41" s="3" t="str">
        <f>IF(COUNT(T41:V41)=0,"",SUM(W41:Y41))</f>
        <v/>
      </c>
      <c r="AA41" s="3" t="str">
        <f>IF(Z41="","",Z41*$AA$15)</f>
        <v/>
      </c>
      <c r="AB41" s="3" t="str">
        <f>IF(COUNT(F41:J41,N41:P41,T41:V41)=0,"",SUM(M41,S41,AA41))</f>
        <v/>
      </c>
      <c r="AC41" s="1" t="str">
        <f t="array" ref="AC41">IF(AB41="","",IFERROR(INDEX(HELPER!$D$8:$D$48,IF(AB41&gt;=HELPER!$B$8,1,MATCH(AB41,HELPER!$B$8:$B$48,-1)+1)),""))</f>
        <v/>
      </c>
      <c r="AD41" t="str">
        <f t="array" ref="AD41">IF(AC41="","",IFERROR(INDEX(HELPER!$G$8:$G$48,MATCH(AC41,HELPER!$F$8:$F$48,-1)),""))</f>
        <v/>
      </c>
    </row>
    <row r="42" ht="15" customHeight="1">
      <c r="B42">
        <v>25</v>
      </c>
      <c r="C42" t="str">
        <f>IF('INPUT DATA'!K35="","",'INPUT DATA'!K35)</f>
        <v/>
      </c>
      <c r="K42" t="str">
        <f>IF(COUNT($F42:$J42)=0,"",SUM($F42:$J42))</f>
        <v/>
      </c>
      <c r="L42" s="3" t="str">
        <f>IF(COUNT(F42:J42)=0,"",IFERROR(K42/$K$15*$L$15,""))</f>
        <v/>
      </c>
      <c r="M42" s="3" t="str">
        <f>IF(L42="","",L42*$M$15)</f>
        <v/>
      </c>
      <c r="Q42" t="str">
        <f>IF(COUNT(N42:P42)=0,"",SUM(N42:P42))</f>
        <v/>
      </c>
      <c r="R42" s="3" t="str">
        <f>IF(COUNT(N42:P42)=0,"",IFERROR(Q42/$Q$15*$R$15,""))</f>
        <v/>
      </c>
      <c r="S42" s="3" t="str">
        <f>IF(R42="","",R42*$S$15)</f>
        <v/>
      </c>
      <c r="W42" s="3" t="str">
        <f>IF(T42="","",IFERROR(T42/$T$15*$W$15,""))</f>
        <v/>
      </c>
      <c r="X42" s="3" t="str">
        <f>IF(U42="","",IFERROR(U42/$U$15*$X$15,""))</f>
        <v/>
      </c>
      <c r="Y42" s="3" t="str">
        <f>IF(V42="","",IFERROR(V42/$V$15*$Y$15,""))</f>
        <v/>
      </c>
      <c r="Z42" s="3" t="str">
        <f>IF(COUNT(T42:V42)=0,"",SUM(W42:Y42))</f>
        <v/>
      </c>
      <c r="AA42" s="3" t="str">
        <f>IF(Z42="","",Z42*$AA$15)</f>
        <v/>
      </c>
      <c r="AB42" s="3" t="str">
        <f>IF(COUNT(F42:J42,N42:P42,T42:V42)=0,"",SUM(M42,S42,AA42))</f>
        <v/>
      </c>
      <c r="AC42" s="1" t="str">
        <f t="array" ref="AC42">IF(AB42="","",IFERROR(INDEX(HELPER!$D$8:$D$48,IF(AB42&gt;=HELPER!$B$8,1,MATCH(AB42,HELPER!$B$8:$B$48,-1)+1)),""))</f>
        <v/>
      </c>
      <c r="AD42" t="str">
        <f t="array" ref="AD42">IF(AC42="","",IFERROR(INDEX(HELPER!$G$8:$G$48,MATCH(AC42,HELPER!$F$8:$F$48,-1)),""))</f>
        <v/>
      </c>
    </row>
    <row r="43" ht="15" customHeight="1">
      <c r="B43">
        <v>26</v>
      </c>
      <c r="C43" t="str">
        <f>IF('INPUT DATA'!K36="","",'INPUT DATA'!K36)</f>
        <v/>
      </c>
      <c r="K43" t="str">
        <f>IF(COUNT($F43:$J43)=0,"",SUM($F43:$J43))</f>
        <v/>
      </c>
      <c r="L43" s="3" t="str">
        <f>IF(COUNT(F43:J43)=0,"",IFERROR(K43/$K$15*$L$15,""))</f>
        <v/>
      </c>
      <c r="M43" s="3" t="str">
        <f>IF(L43="","",L43*$M$15)</f>
        <v/>
      </c>
      <c r="Q43" t="str">
        <f>IF(COUNT(N43:P43)=0,"",SUM(N43:P43))</f>
        <v/>
      </c>
      <c r="R43" s="3" t="str">
        <f>IF(COUNT(N43:P43)=0,"",IFERROR(Q43/$Q$15*$R$15,""))</f>
        <v/>
      </c>
      <c r="S43" s="3" t="str">
        <f>IF(R43="","",R43*$S$15)</f>
        <v/>
      </c>
      <c r="W43" s="3" t="str">
        <f>IF(T43="","",IFERROR(T43/$T$15*$W$15,""))</f>
        <v/>
      </c>
      <c r="X43" s="3" t="str">
        <f>IF(U43="","",IFERROR(U43/$U$15*$X$15,""))</f>
        <v/>
      </c>
      <c r="Y43" s="3" t="str">
        <f>IF(V43="","",IFERROR(V43/$V$15*$Y$15,""))</f>
        <v/>
      </c>
      <c r="Z43" s="3" t="str">
        <f>IF(COUNT(T43:V43)=0,"",SUM(W43:Y43))</f>
        <v/>
      </c>
      <c r="AA43" s="3" t="str">
        <f>IF(Z43="","",Z43*$AA$15)</f>
        <v/>
      </c>
      <c r="AB43" s="3" t="str">
        <f>IF(COUNT(F43:J43,N43:P43,T43:V43)=0,"",SUM(M43,S43,AA43))</f>
        <v/>
      </c>
      <c r="AC43" s="1" t="str">
        <f t="array" ref="AC43">IF(AB43="","",IFERROR(INDEX(HELPER!$D$8:$D$48,IF(AB43&gt;=HELPER!$B$8,1,MATCH(AB43,HELPER!$B$8:$B$48,-1)+1)),""))</f>
        <v/>
      </c>
      <c r="AD43" t="str">
        <f t="array" ref="AD43">IF(AC43="","",IFERROR(INDEX(HELPER!$G$8:$G$48,MATCH(AC43,HELPER!$F$8:$F$48,-1)),""))</f>
        <v/>
      </c>
    </row>
    <row r="44" ht="15" customHeight="1">
      <c r="B44">
        <v>27</v>
      </c>
      <c r="C44" t="str">
        <f>IF('INPUT DATA'!K37="","",'INPUT DATA'!K37)</f>
        <v/>
      </c>
      <c r="K44" t="str">
        <f>IF(COUNT($F44:$J44)=0,"",SUM($F44:$J44))</f>
        <v/>
      </c>
      <c r="L44" s="3" t="str">
        <f>IF(COUNT(F44:J44)=0,"",IFERROR(K44/$K$15*$L$15,""))</f>
        <v/>
      </c>
      <c r="M44" s="3" t="str">
        <f>IF(L44="","",L44*$M$15)</f>
        <v/>
      </c>
      <c r="Q44" t="str">
        <f>IF(COUNT(N44:P44)=0,"",SUM(N44:P44))</f>
        <v/>
      </c>
      <c r="R44" s="3" t="str">
        <f>IF(COUNT(N44:P44)=0,"",IFERROR(Q44/$Q$15*$R$15,""))</f>
        <v/>
      </c>
      <c r="S44" s="3" t="str">
        <f>IF(R44="","",R44*$S$15)</f>
        <v/>
      </c>
      <c r="W44" s="3" t="str">
        <f>IF(T44="","",IFERROR(T44/$T$15*$W$15,""))</f>
        <v/>
      </c>
      <c r="X44" s="3" t="str">
        <f>IF(U44="","",IFERROR(U44/$U$15*$X$15,""))</f>
        <v/>
      </c>
      <c r="Y44" s="3" t="str">
        <f>IF(V44="","",IFERROR(V44/$V$15*$Y$15,""))</f>
        <v/>
      </c>
      <c r="Z44" s="3" t="str">
        <f>IF(COUNT(T44:V44)=0,"",SUM(W44:Y44))</f>
        <v/>
      </c>
      <c r="AA44" s="3" t="str">
        <f>IF(Z44="","",Z44*$AA$15)</f>
        <v/>
      </c>
      <c r="AB44" s="3" t="str">
        <f>IF(COUNT(F44:J44,N44:P44,T44:V44)=0,"",SUM(M44,S44,AA44))</f>
        <v/>
      </c>
      <c r="AC44" s="1" t="str">
        <f t="array" ref="AC44">IF(AB44="","",IFERROR(INDEX(HELPER!$D$8:$D$48,IF(AB44&gt;=HELPER!$B$8,1,MATCH(AB44,HELPER!$B$8:$B$48,-1)+1)),""))</f>
        <v/>
      </c>
      <c r="AD44" t="str">
        <f t="array" ref="AD44">IF(AC44="","",IFERROR(INDEX(HELPER!$G$8:$G$48,MATCH(AC44,HELPER!$F$8:$F$48,-1)),""))</f>
        <v/>
      </c>
    </row>
    <row r="45" ht="15" customHeight="1">
      <c r="B45">
        <v>28</v>
      </c>
      <c r="C45" t="str">
        <f>IF('INPUT DATA'!K38="","",'INPUT DATA'!K38)</f>
        <v/>
      </c>
      <c r="K45" t="str">
        <f>IF(COUNT($F45:$J45)=0,"",SUM($F45:$J45))</f>
        <v/>
      </c>
      <c r="L45" s="3" t="str">
        <f>IF(COUNT(F45:J45)=0,"",IFERROR(K45/$K$15*$L$15,""))</f>
        <v/>
      </c>
      <c r="M45" s="3" t="str">
        <f>IF(L45="","",L45*$M$15)</f>
        <v/>
      </c>
      <c r="Q45" t="str">
        <f>IF(COUNT(N45:P45)=0,"",SUM(N45:P45))</f>
        <v/>
      </c>
      <c r="R45" s="3" t="str">
        <f>IF(COUNT(N45:P45)=0,"",IFERROR(Q45/$Q$15*$R$15,""))</f>
        <v/>
      </c>
      <c r="S45" s="3" t="str">
        <f>IF(R45="","",R45*$S$15)</f>
        <v/>
      </c>
      <c r="W45" s="3" t="str">
        <f>IF(T45="","",IFERROR(T45/$T$15*$W$15,""))</f>
        <v/>
      </c>
      <c r="X45" s="3" t="str">
        <f>IF(U45="","",IFERROR(U45/$U$15*$X$15,""))</f>
        <v/>
      </c>
      <c r="Y45" s="3" t="str">
        <f>IF(V45="","",IFERROR(V45/$V$15*$Y$15,""))</f>
        <v/>
      </c>
      <c r="Z45" s="3" t="str">
        <f>IF(COUNT(T45:V45)=0,"",SUM(W45:Y45))</f>
        <v/>
      </c>
      <c r="AA45" s="3" t="str">
        <f>IF(Z45="","",Z45*$AA$15)</f>
        <v/>
      </c>
      <c r="AB45" s="3" t="str">
        <f>IF(COUNT(F45:J45,N45:P45,T45:V45)=0,"",SUM(M45,S45,AA45))</f>
        <v/>
      </c>
      <c r="AC45" s="1" t="str">
        <f t="array" ref="AC45">IF(AB45="","",IFERROR(INDEX(HELPER!$D$8:$D$48,IF(AB45&gt;=HELPER!$B$8,1,MATCH(AB45,HELPER!$B$8:$B$48,-1)+1)),""))</f>
        <v/>
      </c>
      <c r="AD45" t="str">
        <f t="array" ref="AD45">IF(AC45="","",IFERROR(INDEX(HELPER!$G$8:$G$48,MATCH(AC45,HELPER!$F$8:$F$48,-1)),""))</f>
        <v/>
      </c>
    </row>
    <row r="46" ht="15" customHeight="1">
      <c r="B46">
        <v>29</v>
      </c>
      <c r="C46" t="str">
        <f>IF('INPUT DATA'!K39="","",'INPUT DATA'!K39)</f>
        <v/>
      </c>
      <c r="K46" t="str">
        <f>IF(COUNT($F46:$J46)=0,"",SUM($F46:$J46))</f>
        <v/>
      </c>
      <c r="L46" s="3" t="str">
        <f>IF(COUNT(F46:J46)=0,"",IFERROR(K46/$K$15*$L$15,""))</f>
        <v/>
      </c>
      <c r="M46" s="3" t="str">
        <f>IF(L46="","",L46*$M$15)</f>
        <v/>
      </c>
      <c r="Q46" t="str">
        <f>IF(COUNT(N46:P46)=0,"",SUM(N46:P46))</f>
        <v/>
      </c>
      <c r="R46" s="3" t="str">
        <f>IF(COUNT(N46:P46)=0,"",IFERROR(Q46/$Q$15*$R$15,""))</f>
        <v/>
      </c>
      <c r="S46" s="3" t="str">
        <f>IF(R46="","",R46*$S$15)</f>
        <v/>
      </c>
      <c r="W46" s="3" t="str">
        <f>IF(T46="","",IFERROR(T46/$T$15*$W$15,""))</f>
        <v/>
      </c>
      <c r="X46" s="3" t="str">
        <f>IF(U46="","",IFERROR(U46/$U$15*$X$15,""))</f>
        <v/>
      </c>
      <c r="Y46" s="3" t="str">
        <f>IF(V46="","",IFERROR(V46/$V$15*$Y$15,""))</f>
        <v/>
      </c>
      <c r="Z46" s="3" t="str">
        <f>IF(COUNT(T46:V46)=0,"",SUM(W46:Y46))</f>
        <v/>
      </c>
      <c r="AA46" s="3" t="str">
        <f>IF(Z46="","",Z46*$AA$15)</f>
        <v/>
      </c>
      <c r="AB46" s="3" t="str">
        <f>IF(COUNT(F46:J46,N46:P46,T46:V46)=0,"",SUM(M46,S46,AA46))</f>
        <v/>
      </c>
      <c r="AC46" s="1" t="str">
        <f t="array" ref="AC46">IF(AB46="","",IFERROR(INDEX(HELPER!$D$8:$D$48,IF(AB46&gt;=HELPER!$B$8,1,MATCH(AB46,HELPER!$B$8:$B$48,-1)+1)),""))</f>
        <v/>
      </c>
      <c r="AD46" t="str">
        <f t="array" ref="AD46">IF(AC46="","",IFERROR(INDEX(HELPER!$G$8:$G$48,MATCH(AC46,HELPER!$F$8:$F$48,-1)),""))</f>
        <v/>
      </c>
    </row>
    <row r="47" ht="15" customHeight="1">
      <c r="B47">
        <v>30</v>
      </c>
      <c r="C47" t="str">
        <f>IF('INPUT DATA'!K40="","",'INPUT DATA'!K40)</f>
        <v/>
      </c>
      <c r="K47" t="str">
        <f>IF(COUNT($F47:$J47)=0,"",SUM($F47:$J47))</f>
        <v/>
      </c>
      <c r="L47" s="3" t="str">
        <f>IF(COUNT(F47:J47)=0,"",IFERROR(K47/$K$15*$L$15,""))</f>
        <v/>
      </c>
      <c r="M47" s="3" t="str">
        <f>IF(L47="","",L47*$M$15)</f>
        <v/>
      </c>
      <c r="Q47" t="str">
        <f>IF(COUNT(N47:P47)=0,"",SUM(N47:P47))</f>
        <v/>
      </c>
      <c r="R47" s="3" t="str">
        <f>IF(COUNT(N47:P47)=0,"",IFERROR(Q47/$Q$15*$R$15,""))</f>
        <v/>
      </c>
      <c r="S47" s="3" t="str">
        <f>IF(R47="","",R47*$S$15)</f>
        <v/>
      </c>
      <c r="W47" s="3" t="str">
        <f>IF(T47="","",IFERROR(T47/$T$15*$W$15,""))</f>
        <v/>
      </c>
      <c r="X47" s="3" t="str">
        <f>IF(U47="","",IFERROR(U47/$U$15*$X$15,""))</f>
        <v/>
      </c>
      <c r="Y47" s="3" t="str">
        <f>IF(V47="","",IFERROR(V47/$V$15*$Y$15,""))</f>
        <v/>
      </c>
      <c r="Z47" s="3" t="str">
        <f>IF(COUNT(T47:V47)=0,"",SUM(W47:Y47))</f>
        <v/>
      </c>
      <c r="AA47" s="3" t="str">
        <f>IF(Z47="","",Z47*$AA$15)</f>
        <v/>
      </c>
      <c r="AB47" s="3" t="str">
        <f>IF(COUNT(F47:J47,N47:P47,T47:V47)=0,"",SUM(M47,S47,AA47))</f>
        <v/>
      </c>
      <c r="AC47" s="1" t="str">
        <f t="array" ref="AC47">IF(AB47="","",IFERROR(INDEX(HELPER!$D$8:$D$48,IF(AB47&gt;=HELPER!$B$8,1,MATCH(AB47,HELPER!$B$8:$B$48,-1)+1)),""))</f>
        <v/>
      </c>
      <c r="AD47" t="str">
        <f t="array" ref="AD47">IF(AC47="","",IFERROR(INDEX(HELPER!$G$8:$G$48,MATCH(AC47,HELPER!$F$8:$F$48,-1)),""))</f>
        <v/>
      </c>
    </row>
    <row r="48" ht="15" customHeight="1">
      <c r="B48">
        <v>31</v>
      </c>
      <c r="C48" t="str">
        <f>IF('INPUT DATA'!K41="","",'INPUT DATA'!K41)</f>
        <v/>
      </c>
      <c r="K48" t="str">
        <f>IF(COUNT($F48:$J48)=0,"",SUM($F48:$J48))</f>
        <v/>
      </c>
      <c r="L48" s="3" t="str">
        <f>IF(COUNT(F48:J48)=0,"",IFERROR(K48/$K$15*$L$15,""))</f>
        <v/>
      </c>
      <c r="M48" s="3" t="str">
        <f>IF(L48="","",L48*$M$15)</f>
        <v/>
      </c>
      <c r="Q48" t="str">
        <f>IF(COUNT(N48:P48)=0,"",SUM(N48:P48))</f>
        <v/>
      </c>
      <c r="R48" s="3" t="str">
        <f>IF(COUNT(N48:P48)=0,"",IFERROR(Q48/$Q$15*$R$15,""))</f>
        <v/>
      </c>
      <c r="S48" s="3" t="str">
        <f>IF(R48="","",R48*$S$15)</f>
        <v/>
      </c>
      <c r="W48" s="3" t="str">
        <f>IF(T48="","",IFERROR(T48/$T$15*$W$15,""))</f>
        <v/>
      </c>
      <c r="X48" s="3" t="str">
        <f>IF(U48="","",IFERROR(U48/$U$15*$X$15,""))</f>
        <v/>
      </c>
      <c r="Y48" s="3" t="str">
        <f>IF(V48="","",IFERROR(V48/$V$15*$Y$15,""))</f>
        <v/>
      </c>
      <c r="Z48" s="3" t="str">
        <f>IF(COUNT(T48:V48)=0,"",SUM(W48:Y48))</f>
        <v/>
      </c>
      <c r="AA48" s="3" t="str">
        <f>IF(Z48="","",Z48*$AA$15)</f>
        <v/>
      </c>
      <c r="AB48" s="3" t="str">
        <f>IF(COUNT(F48:J48,N48:P48,T48:V48)=0,"",SUM(M48,S48,AA48))</f>
        <v/>
      </c>
      <c r="AC48" s="1" t="str">
        <f t="array" ref="AC48">IF(AB48="","",IFERROR(INDEX(HELPER!$D$8:$D$48,IF(AB48&gt;=HELPER!$B$8,1,MATCH(AB48,HELPER!$B$8:$B$48,-1)+1)),""))</f>
        <v/>
      </c>
      <c r="AD48" t="str">
        <f t="array" ref="AD48">IF(AC48="","",IFERROR(INDEX(HELPER!$G$8:$G$48,MATCH(AC48,HELPER!$F$8:$F$48,-1)),""))</f>
        <v/>
      </c>
    </row>
    <row r="49" ht="15" customHeight="1">
      <c r="B49">
        <v>32</v>
      </c>
      <c r="C49" t="str">
        <f>IF('INPUT DATA'!K42="","",'INPUT DATA'!K42)</f>
        <v/>
      </c>
      <c r="K49" t="str">
        <f>IF(COUNT($F49:$J49)=0,"",SUM($F49:$J49))</f>
        <v/>
      </c>
      <c r="L49" s="3" t="str">
        <f>IF(COUNT(F49:J49)=0,"",IFERROR(K49/$K$15*$L$15,""))</f>
        <v/>
      </c>
      <c r="M49" s="3" t="str">
        <f>IF(L49="","",L49*$M$15)</f>
        <v/>
      </c>
      <c r="Q49" t="str">
        <f>IF(COUNT(N49:P49)=0,"",SUM(N49:P49))</f>
        <v/>
      </c>
      <c r="R49" s="3" t="str">
        <f>IF(COUNT(N49:P49)=0,"",IFERROR(Q49/$Q$15*$R$15,""))</f>
        <v/>
      </c>
      <c r="S49" s="3" t="str">
        <f>IF(R49="","",R49*$S$15)</f>
        <v/>
      </c>
      <c r="W49" s="3" t="str">
        <f>IF(T49="","",IFERROR(T49/$T$15*$W$15,""))</f>
        <v/>
      </c>
      <c r="X49" s="3" t="str">
        <f>IF(U49="","",IFERROR(U49/$U$15*$X$15,""))</f>
        <v/>
      </c>
      <c r="Y49" s="3" t="str">
        <f>IF(V49="","",IFERROR(V49/$V$15*$Y$15,""))</f>
        <v/>
      </c>
      <c r="Z49" s="3" t="str">
        <f>IF(COUNT(T49:V49)=0,"",SUM(W49:Y49))</f>
        <v/>
      </c>
      <c r="AA49" s="3" t="str">
        <f>IF(Z49="","",Z49*$AA$15)</f>
        <v/>
      </c>
      <c r="AB49" s="3" t="str">
        <f>IF(COUNT(F49:J49,N49:P49,T49:V49)=0,"",SUM(M49,S49,AA49))</f>
        <v/>
      </c>
      <c r="AC49" s="1" t="str">
        <f t="array" ref="AC49">IF(AB49="","",IFERROR(INDEX(HELPER!$D$8:$D$48,IF(AB49&gt;=HELPER!$B$8,1,MATCH(AB49,HELPER!$B$8:$B$48,-1)+1)),""))</f>
        <v/>
      </c>
      <c r="AD49" t="str">
        <f t="array" ref="AD49">IF(AC49="","",IFERROR(INDEX(HELPER!$G$8:$G$48,MATCH(AC49,HELPER!$F$8:$F$48,-1)),""))</f>
        <v/>
      </c>
    </row>
    <row r="50" ht="15" customHeight="1">
      <c r="B50">
        <v>33</v>
      </c>
      <c r="C50" t="str">
        <f>IF('INPUT DATA'!K43="","",'INPUT DATA'!K43)</f>
        <v/>
      </c>
      <c r="K50" t="str">
        <f>IF(COUNT($F50:$J50)=0,"",SUM($F50:$J50))</f>
        <v/>
      </c>
      <c r="L50" s="3" t="str">
        <f>IF(COUNT(F50:J50)=0,"",IFERROR(K50/$K$15*$L$15,""))</f>
        <v/>
      </c>
      <c r="M50" s="3" t="str">
        <f>IF(L50="","",L50*$M$15)</f>
        <v/>
      </c>
      <c r="Q50" t="str">
        <f>IF(COUNT(N50:P50)=0,"",SUM(N50:P50))</f>
        <v/>
      </c>
      <c r="R50" s="3" t="str">
        <f>IF(COUNT(N50:P50)=0,"",IFERROR(Q50/$Q$15*$R$15,""))</f>
        <v/>
      </c>
      <c r="S50" s="3" t="str">
        <f>IF(R50="","",R50*$S$15)</f>
        <v/>
      </c>
      <c r="W50" s="3" t="str">
        <f>IF(T50="","",IFERROR(T50/$T$15*$W$15,""))</f>
        <v/>
      </c>
      <c r="X50" s="3" t="str">
        <f>IF(U50="","",IFERROR(U50/$U$15*$X$15,""))</f>
        <v/>
      </c>
      <c r="Y50" s="3" t="str">
        <f>IF(V50="","",IFERROR(V50/$V$15*$Y$15,""))</f>
        <v/>
      </c>
      <c r="Z50" s="3" t="str">
        <f>IF(COUNT(T50:V50)=0,"",SUM(W50:Y50))</f>
        <v/>
      </c>
      <c r="AA50" s="3" t="str">
        <f>IF(Z50="","",Z50*$AA$15)</f>
        <v/>
      </c>
      <c r="AB50" s="3" t="str">
        <f>IF(COUNT(F50:J50,N50:P50,T50:V50)=0,"",SUM(M50,S50,AA50))</f>
        <v/>
      </c>
      <c r="AC50" s="1" t="str">
        <f t="array" ref="AC50">IF(AB50="","",IFERROR(INDEX(HELPER!$D$8:$D$48,IF(AB50&gt;=HELPER!$B$8,1,MATCH(AB50,HELPER!$B$8:$B$48,-1)+1)),""))</f>
        <v/>
      </c>
      <c r="AD50" t="str">
        <f t="array" ref="AD50">IF(AC50="","",IFERROR(INDEX(HELPER!$G$8:$G$48,MATCH(AC50,HELPER!$F$8:$F$48,-1)),""))</f>
        <v/>
      </c>
    </row>
    <row r="51" ht="15" customHeight="1">
      <c r="B51">
        <v>34</v>
      </c>
      <c r="C51" t="str">
        <f>IF('INPUT DATA'!K44="","",'INPUT DATA'!K44)</f>
        <v/>
      </c>
      <c r="K51" t="str">
        <f>IF(COUNT($F51:$J51)=0,"",SUM($F51:$J51))</f>
        <v/>
      </c>
      <c r="L51" s="3" t="str">
        <f>IF(COUNT(F51:J51)=0,"",IFERROR(K51/$K$15*$L$15,""))</f>
        <v/>
      </c>
      <c r="M51" s="3" t="str">
        <f>IF(L51="","",L51*$M$15)</f>
        <v/>
      </c>
      <c r="Q51" t="str">
        <f>IF(COUNT(N51:P51)=0,"",SUM(N51:P51))</f>
        <v/>
      </c>
      <c r="R51" s="3" t="str">
        <f>IF(COUNT(N51:P51)=0,"",IFERROR(Q51/$Q$15*$R$15,""))</f>
        <v/>
      </c>
      <c r="S51" s="3" t="str">
        <f>IF(R51="","",R51*$S$15)</f>
        <v/>
      </c>
      <c r="W51" s="3" t="str">
        <f>IF(T51="","",IFERROR(T51/$T$15*$W$15,""))</f>
        <v/>
      </c>
      <c r="X51" s="3" t="str">
        <f>IF(U51="","",IFERROR(U51/$U$15*$X$15,""))</f>
        <v/>
      </c>
      <c r="Y51" s="3" t="str">
        <f>IF(V51="","",IFERROR(V51/$V$15*$Y$15,""))</f>
        <v/>
      </c>
      <c r="Z51" s="3" t="str">
        <f>IF(COUNT(T51:V51)=0,"",SUM(W51:Y51))</f>
        <v/>
      </c>
      <c r="AA51" s="3" t="str">
        <f>IF(Z51="","",Z51*$AA$15)</f>
        <v/>
      </c>
      <c r="AB51" s="3" t="str">
        <f>IF(COUNT(F51:J51,N51:P51,T51:V51)=0,"",SUM(M51,S51,AA51))</f>
        <v/>
      </c>
      <c r="AC51" s="1" t="str">
        <f t="array" ref="AC51">IF(AB51="","",IFERROR(INDEX(HELPER!$D$8:$D$48,IF(AB51&gt;=HELPER!$B$8,1,MATCH(AB51,HELPER!$B$8:$B$48,-1)+1)),""))</f>
        <v/>
      </c>
      <c r="AD51" t="str">
        <f t="array" ref="AD51">IF(AC51="","",IFERROR(INDEX(HELPER!$G$8:$G$48,MATCH(AC51,HELPER!$F$8:$F$48,-1)),""))</f>
        <v/>
      </c>
    </row>
    <row r="52" ht="15" customHeight="1">
      <c r="B52">
        <v>35</v>
      </c>
      <c r="C52" t="str">
        <f>IF('INPUT DATA'!K45="","",'INPUT DATA'!K45)</f>
        <v/>
      </c>
      <c r="K52" t="str">
        <f>IF(COUNT($F52:$J52)=0,"",SUM($F52:$J52))</f>
        <v/>
      </c>
      <c r="L52" s="3" t="str">
        <f>IF(COUNT(F52:J52)=0,"",IFERROR(K52/$K$15*$L$15,""))</f>
        <v/>
      </c>
      <c r="M52" s="3" t="str">
        <f>IF(L52="","",L52*$M$15)</f>
        <v/>
      </c>
      <c r="Q52" t="str">
        <f>IF(COUNT(N52:P52)=0,"",SUM(N52:P52))</f>
        <v/>
      </c>
      <c r="R52" s="3" t="str">
        <f>IF(COUNT(N52:P52)=0,"",IFERROR(Q52/$Q$15*$R$15,""))</f>
        <v/>
      </c>
      <c r="S52" s="3" t="str">
        <f>IF(R52="","",R52*$S$15)</f>
        <v/>
      </c>
      <c r="W52" s="3" t="str">
        <f>IF(T52="","",IFERROR(T52/$T$15*$W$15,""))</f>
        <v/>
      </c>
      <c r="X52" s="3" t="str">
        <f>IF(U52="","",IFERROR(U52/$U$15*$X$15,""))</f>
        <v/>
      </c>
      <c r="Y52" s="3" t="str">
        <f>IF(V52="","",IFERROR(V52/$V$15*$Y$15,""))</f>
        <v/>
      </c>
      <c r="Z52" s="3" t="str">
        <f>IF(COUNT(T52:V52)=0,"",SUM(W52:Y52))</f>
        <v/>
      </c>
      <c r="AA52" s="3" t="str">
        <f>IF(Z52="","",Z52*$AA$15)</f>
        <v/>
      </c>
      <c r="AB52" s="3" t="str">
        <f>IF(COUNT(F52:J52,N52:P52,T52:V52)=0,"",SUM(M52,S52,AA52))</f>
        <v/>
      </c>
      <c r="AC52" s="1" t="str">
        <f t="array" ref="AC52">IF(AB52="","",IFERROR(INDEX(HELPER!$D$8:$D$48,IF(AB52&gt;=HELPER!$B$8,1,MATCH(AB52,HELPER!$B$8:$B$48,-1)+1)),""))</f>
        <v/>
      </c>
      <c r="AD52" t="str">
        <f t="array" ref="AD52">IF(AC52="","",IFERROR(INDEX(HELPER!$G$8:$G$48,MATCH(AC52,HELPER!$F$8:$F$48,-1)),""))</f>
        <v/>
      </c>
    </row>
    <row r="53" ht="15" customHeight="1">
      <c r="B53">
        <v>36</v>
      </c>
      <c r="C53" t="str">
        <f>IF('INPUT DATA'!K46="","",'INPUT DATA'!K46)</f>
        <v/>
      </c>
      <c r="K53" t="str">
        <f>IF(COUNT($F53:$J53)=0,"",SUM($F53:$J53))</f>
        <v/>
      </c>
      <c r="L53" s="3" t="str">
        <f>IF(COUNT(F53:J53)=0,"",IFERROR(K53/$K$15*$L$15,""))</f>
        <v/>
      </c>
      <c r="M53" s="3" t="str">
        <f>IF(L53="","",L53*$M$15)</f>
        <v/>
      </c>
      <c r="Q53" t="str">
        <f>IF(COUNT(N53:P53)=0,"",SUM(N53:P53))</f>
        <v/>
      </c>
      <c r="R53" s="3" t="str">
        <f>IF(COUNT(N53:P53)=0,"",IFERROR(Q53/$Q$15*$R$15,""))</f>
        <v/>
      </c>
      <c r="S53" s="3" t="str">
        <f>IF(R53="","",R53*$S$15)</f>
        <v/>
      </c>
      <c r="W53" s="3" t="str">
        <f>IF(T53="","",IFERROR(T53/$T$15*$W$15,""))</f>
        <v/>
      </c>
      <c r="X53" s="3" t="str">
        <f>IF(U53="","",IFERROR(U53/$U$15*$X$15,""))</f>
        <v/>
      </c>
      <c r="Y53" s="3" t="str">
        <f>IF(V53="","",IFERROR(V53/$V$15*$Y$15,""))</f>
        <v/>
      </c>
      <c r="Z53" s="3" t="str">
        <f>IF(COUNT(T53:V53)=0,"",SUM(W53:Y53))</f>
        <v/>
      </c>
      <c r="AA53" s="3" t="str">
        <f>IF(Z53="","",Z53*$AA$15)</f>
        <v/>
      </c>
      <c r="AB53" s="3" t="str">
        <f>IF(COUNT(F53:J53,N53:P53,T53:V53)=0,"",SUM(M53,S53,AA53))</f>
        <v/>
      </c>
      <c r="AC53" s="1" t="str">
        <f t="array" ref="AC53">IF(AB53="","",IFERROR(INDEX(HELPER!$D$8:$D$48,IF(AB53&gt;=HELPER!$B$8,1,MATCH(AB53,HELPER!$B$8:$B$48,-1)+1)),""))</f>
        <v/>
      </c>
      <c r="AD53" t="str">
        <f t="array" ref="AD53">IF(AC53="","",IFERROR(INDEX(HELPER!$G$8:$G$48,MATCH(AC53,HELPER!$F$8:$F$48,-1)),""))</f>
        <v/>
      </c>
    </row>
    <row r="54" ht="15" customHeight="1">
      <c r="B54">
        <v>37</v>
      </c>
      <c r="C54" t="str">
        <f>IF('INPUT DATA'!K47="","",'INPUT DATA'!K47)</f>
        <v/>
      </c>
      <c r="K54" t="str">
        <f>IF(COUNT($F54:$J54)=0,"",SUM($F54:$J54))</f>
        <v/>
      </c>
      <c r="L54" s="3" t="str">
        <f>IF(COUNT(F54:J54)=0,"",IFERROR(K54/$K$15*$L$15,""))</f>
        <v/>
      </c>
      <c r="M54" s="3" t="str">
        <f>IF(L54="","",L54*$M$15)</f>
        <v/>
      </c>
      <c r="Q54" t="str">
        <f>IF(COUNT(N54:P54)=0,"",SUM(N54:P54))</f>
        <v/>
      </c>
      <c r="R54" s="3" t="str">
        <f>IF(COUNT(N54:P54)=0,"",IFERROR(Q54/$Q$15*$R$15,""))</f>
        <v/>
      </c>
      <c r="S54" s="3" t="str">
        <f>IF(R54="","",R54*$S$15)</f>
        <v/>
      </c>
      <c r="W54" s="3" t="str">
        <f>IF(T54="","",IFERROR(T54/$T$15*$W$15,""))</f>
        <v/>
      </c>
      <c r="X54" s="3" t="str">
        <f>IF(U54="","",IFERROR(U54/$U$15*$X$15,""))</f>
        <v/>
      </c>
      <c r="Y54" s="3" t="str">
        <f>IF(V54="","",IFERROR(V54/$V$15*$Y$15,""))</f>
        <v/>
      </c>
      <c r="Z54" s="3" t="str">
        <f>IF(COUNT(T54:V54)=0,"",SUM(W54:Y54))</f>
        <v/>
      </c>
      <c r="AA54" s="3" t="str">
        <f>IF(Z54="","",Z54*$AA$15)</f>
        <v/>
      </c>
      <c r="AB54" s="3" t="str">
        <f>IF(COUNT(F54:J54,N54:P54,T54:V54)=0,"",SUM(M54,S54,AA54))</f>
        <v/>
      </c>
      <c r="AC54" s="1" t="str">
        <f t="array" ref="AC54">IF(AB54="","",IFERROR(INDEX(HELPER!$D$8:$D$48,IF(AB54&gt;=HELPER!$B$8,1,MATCH(AB54,HELPER!$B$8:$B$48,-1)+1)),""))</f>
        <v/>
      </c>
      <c r="AD54" t="str">
        <f t="array" ref="AD54">IF(AC54="","",IFERROR(INDEX(HELPER!$G$8:$G$48,MATCH(AC54,HELPER!$F$8:$F$48,-1)),""))</f>
        <v/>
      </c>
    </row>
    <row r="55" ht="15" customHeight="1">
      <c r="B55">
        <v>38</v>
      </c>
      <c r="C55" t="str">
        <f>IF('INPUT DATA'!K48="","",'INPUT DATA'!K48)</f>
        <v/>
      </c>
      <c r="K55" t="str">
        <f>IF(COUNT($F55:$J55)=0,"",SUM($F55:$J55))</f>
        <v/>
      </c>
      <c r="L55" s="3" t="str">
        <f>IF(COUNT(F55:J55)=0,"",IFERROR(K55/$K$15*$L$15,""))</f>
        <v/>
      </c>
      <c r="M55" s="3" t="str">
        <f>IF(L55="","",L55*$M$15)</f>
        <v/>
      </c>
      <c r="Q55" t="str">
        <f>IF(COUNT(N55:P55)=0,"",SUM(N55:P55))</f>
        <v/>
      </c>
      <c r="R55" s="3" t="str">
        <f>IF(COUNT(N55:P55)=0,"",IFERROR(Q55/$Q$15*$R$15,""))</f>
        <v/>
      </c>
      <c r="S55" s="3" t="str">
        <f>IF(R55="","",R55*$S$15)</f>
        <v/>
      </c>
      <c r="W55" s="3" t="str">
        <f>IF(T55="","",IFERROR(T55/$T$15*$W$15,""))</f>
        <v/>
      </c>
      <c r="X55" s="3" t="str">
        <f>IF(U55="","",IFERROR(U55/$U$15*$X$15,""))</f>
        <v/>
      </c>
      <c r="Y55" s="3" t="str">
        <f>IF(V55="","",IFERROR(V55/$V$15*$Y$15,""))</f>
        <v/>
      </c>
      <c r="Z55" s="3" t="str">
        <f>IF(COUNT(T55:V55)=0,"",SUM(W55:Y55))</f>
        <v/>
      </c>
      <c r="AA55" s="3" t="str">
        <f>IF(Z55="","",Z55*$AA$15)</f>
        <v/>
      </c>
      <c r="AB55" s="3" t="str">
        <f>IF(COUNT(F55:J55,N55:P55,T55:V55)=0,"",SUM(M55,S55,AA55))</f>
        <v/>
      </c>
      <c r="AC55" s="1" t="str">
        <f t="array" ref="AC55">IF(AB55="","",IFERROR(INDEX(HELPER!$D$8:$D$48,IF(AB55&gt;=HELPER!$B$8,1,MATCH(AB55,HELPER!$B$8:$B$48,-1)+1)),""))</f>
        <v/>
      </c>
      <c r="AD55" t="str">
        <f t="array" ref="AD55">IF(AC55="","",IFERROR(INDEX(HELPER!$G$8:$G$48,MATCH(AC55,HELPER!$F$8:$F$48,-1)),""))</f>
        <v/>
      </c>
    </row>
    <row r="56" ht="15" customHeight="1">
      <c r="B56">
        <v>39</v>
      </c>
      <c r="C56" t="str">
        <f>IF('INPUT DATA'!K49="","",'INPUT DATA'!K49)</f>
        <v/>
      </c>
      <c r="K56" t="str">
        <f>IF(COUNT($F56:$J56)=0,"",SUM($F56:$J56))</f>
        <v/>
      </c>
      <c r="L56" s="3" t="str">
        <f>IF(COUNT(F56:J56)=0,"",IFERROR(K56/$K$15*$L$15,""))</f>
        <v/>
      </c>
      <c r="M56" s="3" t="str">
        <f>IF(L56="","",L56*$M$15)</f>
        <v/>
      </c>
      <c r="Q56" t="str">
        <f>IF(COUNT(N56:P56)=0,"",SUM(N56:P56))</f>
        <v/>
      </c>
      <c r="R56" s="3" t="str">
        <f>IF(COUNT(N56:P56)=0,"",IFERROR(Q56/$Q$15*$R$15,""))</f>
        <v/>
      </c>
      <c r="S56" s="3" t="str">
        <f>IF(R56="","",R56*$S$15)</f>
        <v/>
      </c>
      <c r="W56" s="3" t="str">
        <f>IF(T56="","",IFERROR(T56/$T$15*$W$15,""))</f>
        <v/>
      </c>
      <c r="X56" s="3" t="str">
        <f>IF(U56="","",IFERROR(U56/$U$15*$X$15,""))</f>
        <v/>
      </c>
      <c r="Y56" s="3" t="str">
        <f>IF(V56="","",IFERROR(V56/$V$15*$Y$15,""))</f>
        <v/>
      </c>
      <c r="Z56" s="3" t="str">
        <f>IF(COUNT(T56:V56)=0,"",SUM(W56:Y56))</f>
        <v/>
      </c>
      <c r="AA56" s="3" t="str">
        <f>IF(Z56="","",Z56*$AA$15)</f>
        <v/>
      </c>
      <c r="AB56" s="3" t="str">
        <f>IF(COUNT(F56:J56,N56:P56,T56:V56)=0,"",SUM(M56,S56,AA56))</f>
        <v/>
      </c>
      <c r="AC56" s="1" t="str">
        <f t="array" ref="AC56">IF(AB56="","",IFERROR(INDEX(HELPER!$D$8:$D$48,IF(AB56&gt;=HELPER!$B$8,1,MATCH(AB56,HELPER!$B$8:$B$48,-1)+1)),""))</f>
        <v/>
      </c>
      <c r="AD56" t="str">
        <f t="array" ref="AD56">IF(AC56="","",IFERROR(INDEX(HELPER!$G$8:$G$48,MATCH(AC56,HELPER!$F$8:$F$48,-1)),""))</f>
        <v/>
      </c>
    </row>
    <row r="57" ht="15" customHeight="1">
      <c r="B57">
        <v>40</v>
      </c>
      <c r="C57" t="str">
        <f>IF('INPUT DATA'!K50="","",'INPUT DATA'!K50)</f>
        <v/>
      </c>
      <c r="K57" t="str">
        <f>IF(COUNT($F57:$J57)=0,"",SUM($F57:$J57))</f>
        <v/>
      </c>
      <c r="L57" s="3" t="str">
        <f>IF(COUNT(F57:J57)=0,"",IFERROR(K57/$K$15*$L$15,""))</f>
        <v/>
      </c>
      <c r="M57" s="3" t="str">
        <f>IF(L57="","",L57*$M$15)</f>
        <v/>
      </c>
      <c r="Q57" t="str">
        <f>IF(COUNT(N57:P57)=0,"",SUM(N57:P57))</f>
        <v/>
      </c>
      <c r="R57" s="3" t="str">
        <f>IF(COUNT(N57:P57)=0,"",IFERROR(Q57/$Q$15*$R$15,""))</f>
        <v/>
      </c>
      <c r="S57" s="3" t="str">
        <f>IF(R57="","",R57*$S$15)</f>
        <v/>
      </c>
      <c r="W57" s="3" t="str">
        <f>IF(T57="","",IFERROR(T57/$T$15*$W$15,""))</f>
        <v/>
      </c>
      <c r="X57" s="3" t="str">
        <f>IF(U57="","",IFERROR(U57/$U$15*$X$15,""))</f>
        <v/>
      </c>
      <c r="Y57" s="3" t="str">
        <f>IF(V57="","",IFERROR(V57/$V$15*$Y$15,""))</f>
        <v/>
      </c>
      <c r="Z57" s="3" t="str">
        <f>IF(COUNT(T57:V57)=0,"",SUM(W57:Y57))</f>
        <v/>
      </c>
      <c r="AA57" s="3" t="str">
        <f>IF(Z57="","",Z57*$AA$15)</f>
        <v/>
      </c>
      <c r="AB57" s="3" t="str">
        <f>IF(COUNT(F57:J57,N57:P57,T57:V57)=0,"",SUM(M57,S57,AA57))</f>
        <v/>
      </c>
      <c r="AC57" s="1" t="str">
        <f t="array" ref="AC57">IF(AB57="","",IFERROR(INDEX(HELPER!$D$8:$D$48,IF(AB57&gt;=HELPER!$B$8,1,MATCH(AB57,HELPER!$B$8:$B$48,-1)+1)),""))</f>
        <v/>
      </c>
      <c r="AD57" t="str">
        <f t="array" ref="AD57">IF(AC57="","",IFERROR(INDEX(HELPER!$G$8:$G$48,MATCH(AC57,HELPER!$F$8:$F$48,-1)),""))</f>
        <v/>
      </c>
    </row>
    <row r="58" ht="15" customHeight="1">
      <c r="B58">
        <v>41</v>
      </c>
      <c r="C58" t="str">
        <f>IF('INPUT DATA'!K51="","",'INPUT DATA'!K51)</f>
        <v/>
      </c>
      <c r="K58" t="str">
        <f>IF(COUNT($F58:$J58)=0,"",SUM($F58:$J58))</f>
        <v/>
      </c>
      <c r="L58" s="3" t="str">
        <f>IF(COUNT(F58:J58)=0,"",IFERROR(K58/$K$15*$L$15,""))</f>
        <v/>
      </c>
      <c r="M58" s="3" t="str">
        <f>IF(L58="","",L58*$M$15)</f>
        <v/>
      </c>
      <c r="Q58" t="str">
        <f>IF(COUNT(N58:P58)=0,"",SUM(N58:P58))</f>
        <v/>
      </c>
      <c r="R58" s="3" t="str">
        <f>IF(COUNT(N58:P58)=0,"",IFERROR(Q58/$Q$15*$R$15,""))</f>
        <v/>
      </c>
      <c r="S58" s="3" t="str">
        <f>IF(R58="","",R58*$S$15)</f>
        <v/>
      </c>
      <c r="W58" s="3" t="str">
        <f>IF(T58="","",IFERROR(T58/$T$15*$W$15,""))</f>
        <v/>
      </c>
      <c r="X58" s="3" t="str">
        <f>IF(U58="","",IFERROR(U58/$U$15*$X$15,""))</f>
        <v/>
      </c>
      <c r="Y58" s="3" t="str">
        <f>IF(V58="","",IFERROR(V58/$V$15*$Y$15,""))</f>
        <v/>
      </c>
      <c r="Z58" s="3" t="str">
        <f>IF(COUNT(T58:V58)=0,"",SUM(W58:Y58))</f>
        <v/>
      </c>
      <c r="AA58" s="3" t="str">
        <f>IF(Z58="","",Z58*$AA$15)</f>
        <v/>
      </c>
      <c r="AB58" s="3" t="str">
        <f>IF(COUNT(F58:J58,N58:P58,T58:V58)=0,"",SUM(M58,S58,AA58))</f>
        <v/>
      </c>
      <c r="AC58" s="1" t="str">
        <f t="array" ref="AC58">IF(AB58="","",IFERROR(INDEX(HELPER!$D$8:$D$48,IF(AB58&gt;=HELPER!$B$8,1,MATCH(AB58,HELPER!$B$8:$B$48,-1)+1)),""))</f>
        <v/>
      </c>
      <c r="AD58" t="str">
        <f t="array" ref="AD58">IF(AC58="","",IFERROR(INDEX(HELPER!$G$8:$G$48,MATCH(AC58,HELPER!$F$8:$F$48,-1)),""))</f>
        <v/>
      </c>
    </row>
    <row r="59" ht="15" customHeight="1">
      <c r="B59">
        <v>42</v>
      </c>
      <c r="C59" t="str">
        <f>IF('INPUT DATA'!K52="","",'INPUT DATA'!K52)</f>
        <v/>
      </c>
      <c r="K59" t="str">
        <f>IF(COUNT($F59:$J59)=0,"",SUM($F59:$J59))</f>
        <v/>
      </c>
      <c r="L59" s="3" t="str">
        <f>IF(COUNT(F59:J59)=0,"",IFERROR(K59/$K$15*$L$15,""))</f>
        <v/>
      </c>
      <c r="M59" s="3" t="str">
        <f>IF(L59="","",L59*$M$15)</f>
        <v/>
      </c>
      <c r="Q59" t="str">
        <f>IF(COUNT(N59:P59)=0,"",SUM(N59:P59))</f>
        <v/>
      </c>
      <c r="R59" s="3" t="str">
        <f>IF(COUNT(N59:P59)=0,"",IFERROR(Q59/$Q$15*$R$15,""))</f>
        <v/>
      </c>
      <c r="S59" s="3" t="str">
        <f>IF(R59="","",R59*$S$15)</f>
        <v/>
      </c>
      <c r="W59" s="3" t="str">
        <f>IF(T59="","",IFERROR(T59/$T$15*$W$15,""))</f>
        <v/>
      </c>
      <c r="X59" s="3" t="str">
        <f>IF(U59="","",IFERROR(U59/$U$15*$X$15,""))</f>
        <v/>
      </c>
      <c r="Y59" s="3" t="str">
        <f>IF(V59="","",IFERROR(V59/$V$15*$Y$15,""))</f>
        <v/>
      </c>
      <c r="Z59" s="3" t="str">
        <f>IF(COUNT(T59:V59)=0,"",SUM(W59:Y59))</f>
        <v/>
      </c>
      <c r="AA59" s="3" t="str">
        <f>IF(Z59="","",Z59*$AA$15)</f>
        <v/>
      </c>
      <c r="AB59" s="3" t="str">
        <f>IF(COUNT(F59:J59,N59:P59,T59:V59)=0,"",SUM(M59,S59,AA59))</f>
        <v/>
      </c>
      <c r="AC59" s="1" t="str">
        <f t="array" ref="AC59">IF(AB59="","",IFERROR(INDEX(HELPER!$D$8:$D$48,IFERROR(MATCH(AB59,HELPER!$B$8:$B$48,0),MATCH(AB59,HELPER!$B$8:$B$48,-1)+1)),""))</f>
        <v/>
      </c>
      <c r="AD59" t="str">
        <f t="array" ref="AD59">IF(AC59="","",IFERROR(INDEX(HELPER!$G$8:$G$48,MATCH(AC59,HELPER!$F$8:$F$48,-1)),""))</f>
        <v/>
      </c>
    </row>
    <row r="60" ht="15" customHeight="1">
      <c r="B60">
        <v>43</v>
      </c>
      <c r="C60" t="str">
        <f>IF('INPUT DATA'!K53="","",'INPUT DATA'!K53)</f>
        <v/>
      </c>
      <c r="K60" t="str">
        <f>IF(COUNT($F60:$J60)=0,"",SUM($F60:$J60))</f>
        <v/>
      </c>
      <c r="L60" s="3" t="str">
        <f>IF(COUNT(F60:J60)=0,"",IFERROR(K60/$K$15*$L$15,""))</f>
        <v/>
      </c>
      <c r="M60" s="3" t="str">
        <f>IF(L60="","",L60*$M$15)</f>
        <v/>
      </c>
      <c r="Q60" t="str">
        <f>IF(COUNT(N60:P60)=0,"",SUM(N60:P60))</f>
        <v/>
      </c>
      <c r="R60" s="3" t="str">
        <f>IF(COUNT(N60:P60)=0,"",IFERROR(Q60/$Q$15*$R$15,""))</f>
        <v/>
      </c>
      <c r="S60" s="3" t="str">
        <f>IF(R60="","",R60*$S$15)</f>
        <v/>
      </c>
      <c r="W60" s="3" t="str">
        <f>IF(T60="","",IFERROR(T60/$T$15*$W$15,""))</f>
        <v/>
      </c>
      <c r="X60" s="3" t="str">
        <f>IF(U60="","",IFERROR(U60/$U$15*$X$15,""))</f>
        <v/>
      </c>
      <c r="Y60" s="3" t="str">
        <f>IF(V60="","",IFERROR(V60/$V$15*$Y$15,""))</f>
        <v/>
      </c>
      <c r="Z60" s="3" t="str">
        <f>IF(COUNT(T60:V60)=0,"",SUM(W60:Y60))</f>
        <v/>
      </c>
      <c r="AA60" s="3" t="str">
        <f>IF(Z60="","",Z60*$AA$15)</f>
        <v/>
      </c>
      <c r="AB60" s="3" t="str">
        <f>IF(COUNT(F60:J60,N60:P60,T60:V60)=0,"",SUM(M60,S60,AA60))</f>
        <v/>
      </c>
      <c r="AC60" s="1" t="str">
        <f t="array" ref="AC60">IF(AB60="","",IFERROR(INDEX(HELPER!$D$8:$D$48,IFERROR(MATCH(AB60,HELPER!$B$8:$B$48,0),MATCH(AB60,HELPER!$B$8:$B$48,-1)+1)),""))</f>
        <v/>
      </c>
      <c r="AD60" t="str">
        <f t="array" ref="AD60">IF(AC60="","",IFERROR(INDEX(HELPER!$G$8:$G$48,MATCH(AC60,HELPER!$F$8:$F$48,-1)),""))</f>
        <v/>
      </c>
    </row>
    <row r="61" ht="15" customHeight="1">
      <c r="B61">
        <v>44</v>
      </c>
      <c r="C61" t="str">
        <f>IF('INPUT DATA'!K54="","",'INPUT DATA'!K54)</f>
        <v/>
      </c>
      <c r="K61" t="str">
        <f>IF(COUNT($F61:$J61)=0,"",SUM($F61:$J61))</f>
        <v/>
      </c>
      <c r="L61" s="3" t="str">
        <f>IF(COUNT(F61:J61)=0,"",IFERROR(K61/$K$15*$L$15,""))</f>
        <v/>
      </c>
      <c r="M61" s="3" t="str">
        <f>IF(L61="","",L61*$M$15)</f>
        <v/>
      </c>
      <c r="Q61" t="str">
        <f>IF(COUNT(N61:P61)=0,"",SUM(N61:P61))</f>
        <v/>
      </c>
      <c r="R61" s="3" t="str">
        <f>IF(COUNT(N61:P61)=0,"",IFERROR(Q61/$Q$15*$R$15,""))</f>
        <v/>
      </c>
      <c r="S61" s="3" t="str">
        <f>IF(R61="","",R61*$S$15)</f>
        <v/>
      </c>
      <c r="W61" s="3" t="str">
        <f>IF(T61="","",IFERROR(T61/$T$15*$W$15,""))</f>
        <v/>
      </c>
      <c r="X61" s="3" t="str">
        <f>IF(U61="","",IFERROR(U61/$U$15*$X$15,""))</f>
        <v/>
      </c>
      <c r="Y61" s="3" t="str">
        <f>IF(V61="","",IFERROR(V61/$V$15*$Y$15,""))</f>
        <v/>
      </c>
      <c r="Z61" s="3" t="str">
        <f>IF(COUNT(T61:V61)=0,"",SUM(W61:Y61))</f>
        <v/>
      </c>
      <c r="AA61" s="3" t="str">
        <f>IF(Z61="","",Z61*$AA$15)</f>
        <v/>
      </c>
      <c r="AB61" s="3" t="str">
        <f>IF(COUNT(F61:J61,N61:P61,T61:V61)=0,"",SUM(M61,S61,AA61))</f>
        <v/>
      </c>
      <c r="AC61" s="1" t="str">
        <f t="array" ref="AC61">IF(AB61="","",IFERROR(INDEX(HELPER!$D$8:$D$48,IFERROR(MATCH(AB61,HELPER!$B$8:$B$48,0),MATCH(AB61,HELPER!$B$8:$B$48,-1)+1)),""))</f>
        <v/>
      </c>
      <c r="AD61" t="str">
        <f t="array" ref="AD61">IF(AC61="","",IFERROR(INDEX(HELPER!$G$8:$G$48,MATCH(AC61,HELPER!$F$8:$F$48,-1)),""))</f>
        <v/>
      </c>
    </row>
    <row r="62" ht="15" customHeight="1">
      <c r="B62">
        <v>45</v>
      </c>
      <c r="C62" t="str">
        <f>IF('INPUT DATA'!K55="","",'INPUT DATA'!K55)</f>
        <v/>
      </c>
      <c r="K62" t="str">
        <f>IF(COUNT($F62:$J62)=0,"",SUM($F62:$J62))</f>
        <v/>
      </c>
      <c r="L62" s="3" t="str">
        <f>IF(COUNT(F62:J62)=0,"",IFERROR(K62/$K$15*$L$15,""))</f>
        <v/>
      </c>
      <c r="M62" s="3" t="str">
        <f>IF(L62="","",L62*$M$15)</f>
        <v/>
      </c>
      <c r="Q62" t="str">
        <f>IF(COUNT(N62:P62)=0,"",SUM(N62:P62))</f>
        <v/>
      </c>
      <c r="R62" s="3" t="str">
        <f>IF(COUNT(N62:P62)=0,"",IFERROR(Q62/$Q$15*$R$15,""))</f>
        <v/>
      </c>
      <c r="S62" s="3" t="str">
        <f>IF(R62="","",R62*$S$15)</f>
        <v/>
      </c>
      <c r="W62" s="3" t="str">
        <f>IF(T62="","",IFERROR(T62/$T$15*$W$15,""))</f>
        <v/>
      </c>
      <c r="X62" s="3" t="str">
        <f>IF(U62="","",IFERROR(U62/$U$15*$X$15,""))</f>
        <v/>
      </c>
      <c r="Y62" s="3" t="str">
        <f>IF(V62="","",IFERROR(V62/$V$15*$Y$15,""))</f>
        <v/>
      </c>
      <c r="Z62" s="3" t="str">
        <f>IF(COUNT(T62:V62)=0,"",SUM(W62:Y62))</f>
        <v/>
      </c>
      <c r="AA62" s="3" t="str">
        <f>IF(Z62="","",Z62*$AA$15)</f>
        <v/>
      </c>
      <c r="AB62" s="3" t="str">
        <f>IF(COUNT(F62:J62,N62:P62,T62:V62)=0,"",SUM(M62,S62,AA62))</f>
        <v/>
      </c>
      <c r="AC62" s="1" t="str">
        <f t="array" ref="AC62">IF(AB62="","",IFERROR(INDEX(HELPER!$D$8:$D$48,IFERROR(MATCH(AB62,HELPER!$B$8:$B$48,0),MATCH(AB62,HELPER!$B$8:$B$48,-1)+1)),""))</f>
        <v/>
      </c>
      <c r="AD62" t="str">
        <f t="array" ref="AD62">IF(AC62="","",IFERROR(INDEX(HELPER!$G$8:$G$48,MATCH(AC62,HELPER!$F$8:$F$48,-1)),""))</f>
        <v/>
      </c>
    </row>
    <row r="63" ht="15" customHeight="1">
      <c r="B63">
        <v>46</v>
      </c>
      <c r="C63" t="str">
        <f>IF('INPUT DATA'!K56="","",'INPUT DATA'!K56)</f>
        <v/>
      </c>
      <c r="K63" t="str">
        <f>IF(COUNT($F63:$J63)=0,"",SUM($F63:$J63))</f>
        <v/>
      </c>
      <c r="L63" s="3" t="str">
        <f>IF(COUNT(F63:J63)=0,"",IFERROR(K63/$K$15*$L$15,""))</f>
        <v/>
      </c>
      <c r="M63" s="3" t="str">
        <f>IF(L63="","",L63*$M$15)</f>
        <v/>
      </c>
      <c r="Q63" t="str">
        <f>IF(COUNT(N63:P63)=0,"",SUM(N63:P63))</f>
        <v/>
      </c>
      <c r="R63" s="3" t="str">
        <f>IF(COUNT(N63:P63)=0,"",IFERROR(Q63/$Q$15*$R$15,""))</f>
        <v/>
      </c>
      <c r="S63" s="3" t="str">
        <f>IF(R63="","",R63*$S$15)</f>
        <v/>
      </c>
      <c r="W63" s="3" t="str">
        <f>IF(T63="","",IFERROR(T63/$T$15*$W$15,""))</f>
        <v/>
      </c>
      <c r="X63" s="3" t="str">
        <f>IF(U63="","",IFERROR(U63/$U$15*$X$15,""))</f>
        <v/>
      </c>
      <c r="Y63" s="3" t="str">
        <f>IF(V63="","",IFERROR(V63/$V$15*$Y$15,""))</f>
        <v/>
      </c>
      <c r="Z63" s="3" t="str">
        <f>IF(COUNT(T63:V63)=0,"",SUM(W63:Y63))</f>
        <v/>
      </c>
      <c r="AA63" s="3" t="str">
        <f>IF(Z63="","",Z63*$AA$15)</f>
        <v/>
      </c>
      <c r="AB63" s="3" t="str">
        <f>IF(COUNT(F63:J63,N63:P63,T63:V63)=0,"",SUM(M63,S63,AA63))</f>
        <v/>
      </c>
      <c r="AC63" s="1" t="str">
        <f t="array" ref="AC63">IF(AB63="","",IFERROR(INDEX(HELPER!$D$8:$D$48,IFERROR(MATCH(AB63,HELPER!$B$8:$B$48,0),MATCH(AB63,HELPER!$B$8:$B$48,-1)+1)),""))</f>
        <v/>
      </c>
      <c r="AD63" t="str">
        <f t="array" ref="AD63">IF(AC63="","",IFERROR(INDEX(HELPER!$G$8:$G$48,MATCH(AC63,HELPER!$F$8:$F$48,-1)),""))</f>
        <v/>
      </c>
    </row>
    <row r="64" ht="15" customHeight="1">
      <c r="B64">
        <v>47</v>
      </c>
      <c r="C64" t="str">
        <f>IF('INPUT DATA'!K57="","",'INPUT DATA'!K57)</f>
        <v/>
      </c>
      <c r="K64" t="str">
        <f>IF(COUNT($F64:$J64)=0,"",SUM($F64:$J64))</f>
        <v/>
      </c>
      <c r="L64" s="3" t="str">
        <f>IF(COUNT(F64:J64)=0,"",IFERROR(K64/$K$15*$L$15,""))</f>
        <v/>
      </c>
      <c r="M64" s="3" t="str">
        <f>IF(L64="","",L64*$M$15)</f>
        <v/>
      </c>
      <c r="Q64" t="str">
        <f>IF(COUNT(N64:P64)=0,"",SUM(N64:P64))</f>
        <v/>
      </c>
      <c r="R64" s="3" t="str">
        <f>IF(COUNT(N64:P64)=0,"",IFERROR(Q64/$Q$15*$R$15,""))</f>
        <v/>
      </c>
      <c r="S64" s="3" t="str">
        <f>IF(R64="","",R64*$S$15)</f>
        <v/>
      </c>
      <c r="W64" s="3" t="str">
        <f>IF(T64="","",IFERROR(T64/$T$15*$W$15,""))</f>
        <v/>
      </c>
      <c r="X64" s="3" t="str">
        <f>IF(U64="","",IFERROR(U64/$U$15*$X$15,""))</f>
        <v/>
      </c>
      <c r="Y64" s="3" t="str">
        <f>IF(V64="","",IFERROR(V64/$V$15*$Y$15,""))</f>
        <v/>
      </c>
      <c r="Z64" s="3" t="str">
        <f>IF(COUNT(T64:V64)=0,"",SUM(W64:Y64))</f>
        <v/>
      </c>
      <c r="AA64" s="3" t="str">
        <f>IF(Z64="","",Z64*$AA$15)</f>
        <v/>
      </c>
      <c r="AB64" s="3" t="str">
        <f>IF(COUNT(F64:J64,N64:P64,T64:V64)=0,"",SUM(M64,S64,AA64))</f>
        <v/>
      </c>
      <c r="AC64" s="1" t="str">
        <f t="array" ref="AC64">IF(AB64="","",IFERROR(INDEX(HELPER!$D$8:$D$48,IFERROR(MATCH(AB64,HELPER!$B$8:$B$48,0),MATCH(AB64,HELPER!$B$8:$B$48,-1)+1)),""))</f>
        <v/>
      </c>
      <c r="AD64" t="str">
        <f t="array" ref="AD64">IF(AC64="","",IFERROR(INDEX(HELPER!$G$8:$G$48,MATCH(AC64,HELPER!$F$8:$F$48,-1)),""))</f>
        <v/>
      </c>
    </row>
    <row r="65" ht="15" customHeight="1">
      <c r="B65">
        <v>48</v>
      </c>
      <c r="C65" t="str">
        <f>IF('INPUT DATA'!K58="","",'INPUT DATA'!K58)</f>
        <v/>
      </c>
      <c r="K65" t="str">
        <f>IF(COUNT($F65:$J65)=0,"",SUM($F65:$J65))</f>
        <v/>
      </c>
      <c r="L65" s="3" t="str">
        <f>IF(COUNT(F65:J65)=0,"",IFERROR(K65/$K$15*$L$15,""))</f>
        <v/>
      </c>
      <c r="M65" s="3" t="str">
        <f>IF(L65="","",L65*$M$15)</f>
        <v/>
      </c>
      <c r="Q65" t="str">
        <f>IF(COUNT(N65:P65)=0,"",SUM(N65:P65))</f>
        <v/>
      </c>
      <c r="R65" s="3" t="str">
        <f>IF(COUNT(N65:P65)=0,"",IFERROR(Q65/$Q$15*$R$15,""))</f>
        <v/>
      </c>
      <c r="S65" s="3" t="str">
        <f>IF(R65="","",R65*$S$15)</f>
        <v/>
      </c>
      <c r="W65" s="3" t="str">
        <f>IF(T65="","",IFERROR(T65/$T$15*$W$15,""))</f>
        <v/>
      </c>
      <c r="X65" s="3" t="str">
        <f>IF(U65="","",IFERROR(U65/$U$15*$X$15,""))</f>
        <v/>
      </c>
      <c r="Y65" s="3" t="str">
        <f>IF(V65="","",IFERROR(V65/$V$15*$Y$15,""))</f>
        <v/>
      </c>
      <c r="Z65" s="3" t="str">
        <f>IF(COUNT(T65:V65)=0,"",SUM(W65:Y65))</f>
        <v/>
      </c>
      <c r="AA65" s="3" t="str">
        <f>IF(Z65="","",Z65*$AA$15)</f>
        <v/>
      </c>
      <c r="AB65" s="3" t="str">
        <f>IF(COUNT(F65:J65,N65:P65,T65:V65)=0,"",SUM(M65,S65,AA65))</f>
        <v/>
      </c>
      <c r="AC65" s="1" t="str">
        <f t="array" ref="AC65">IF(AB65="","",IFERROR(INDEX(HELPER!$D$8:$D$48,IFERROR(MATCH(AB65,HELPER!$B$8:$B$48,0),MATCH(AB65,HELPER!$B$8:$B$48,-1)+1)),""))</f>
        <v/>
      </c>
      <c r="AD65" t="str">
        <f t="array" ref="AD65">IF(AC65="","",IFERROR(INDEX(HELPER!$G$8:$G$48,MATCH(AC65,HELPER!$F$8:$F$48,-1)),""))</f>
        <v/>
      </c>
    </row>
    <row r="66" ht="15" customHeight="1">
      <c r="B66">
        <v>49</v>
      </c>
      <c r="C66" t="str">
        <f>IF('INPUT DATA'!K59="","",'INPUT DATA'!K59)</f>
        <v/>
      </c>
      <c r="K66" t="str">
        <f>IF(COUNT($F66:$J66)=0,"",SUM($F66:$J66))</f>
        <v/>
      </c>
      <c r="L66" s="3" t="str">
        <f>IF(COUNT(F66:J66)=0,"",IFERROR(K66/$K$15*$L$15,""))</f>
        <v/>
      </c>
      <c r="M66" s="3" t="str">
        <f>IF(L66="","",L66*$M$15)</f>
        <v/>
      </c>
      <c r="Q66" t="str">
        <f>IF(COUNT(N66:P66)=0,"",SUM(N66:P66))</f>
        <v/>
      </c>
      <c r="R66" s="3" t="str">
        <f>IF(COUNT(N66:P66)=0,"",IFERROR(Q66/$Q$15*$R$15,""))</f>
        <v/>
      </c>
      <c r="S66" s="3" t="str">
        <f>IF(R66="","",R66*$S$15)</f>
        <v/>
      </c>
      <c r="W66" s="3" t="str">
        <f>IF(T66="","",IFERROR(T66/$T$15*$W$15,""))</f>
        <v/>
      </c>
      <c r="X66" s="3" t="str">
        <f>IF(U66="","",IFERROR(U66/$U$15*$X$15,""))</f>
        <v/>
      </c>
      <c r="Y66" s="3" t="str">
        <f>IF(V66="","",IFERROR(V66/$V$15*$Y$15,""))</f>
        <v/>
      </c>
      <c r="Z66" s="3" t="str">
        <f>IF(COUNT(T66:V66)=0,"",SUM(W66:Y66))</f>
        <v/>
      </c>
      <c r="AA66" s="3" t="str">
        <f>IF(Z66="","",Z66*$AA$15)</f>
        <v/>
      </c>
      <c r="AB66" s="3" t="str">
        <f>IF(COUNT(F66:J66,N66:P66,T66:V66)=0,"",SUM(M66,S66,AA66))</f>
        <v/>
      </c>
      <c r="AC66" s="1" t="str">
        <f t="array" ref="AC66">IF(AB66="","",IFERROR(INDEX(HELPER!$D$8:$D$48,IFERROR(MATCH(AB66,HELPER!$B$8:$B$48,0),MATCH(AB66,HELPER!$B$8:$B$48,-1)+1)),""))</f>
        <v/>
      </c>
      <c r="AD66" t="str">
        <f t="array" ref="AD66">IF(AC66="","",IFERROR(INDEX(HELPER!$G$8:$G$48,MATCH(AC66,HELPER!$F$8:$F$48,-1)),""))</f>
        <v/>
      </c>
    </row>
    <row r="67" ht="15" customHeight="1">
      <c r="B67">
        <v>50</v>
      </c>
      <c r="C67" t="str">
        <f>IF('INPUT DATA'!K60="","",'INPUT DATA'!K60)</f>
        <v/>
      </c>
      <c r="K67" t="str">
        <f>IF(COUNT($F67:$J67)=0,"",SUM($F67:$J67))</f>
        <v/>
      </c>
      <c r="L67" s="3" t="str">
        <f>IF(COUNT(F67:J67)=0,"",IFERROR(K67/$K$15*$L$15,""))</f>
        <v/>
      </c>
      <c r="M67" s="3" t="str">
        <f>IF(L67="","",L67*$M$15)</f>
        <v/>
      </c>
      <c r="Q67" t="str">
        <f>IF(COUNT(N67:P67)=0,"",SUM(N67:P67))</f>
        <v/>
      </c>
      <c r="R67" s="3" t="str">
        <f>IF(COUNT(N67:P67)=0,"",IFERROR(Q67/$Q$15*$R$15,""))</f>
        <v/>
      </c>
      <c r="S67" s="3" t="str">
        <f>IF(R67="","",R67*$S$15)</f>
        <v/>
      </c>
      <c r="W67" s="3" t="str">
        <f>IF(T67="","",IFERROR(T67/$T$15*$W$15,""))</f>
        <v/>
      </c>
      <c r="X67" s="3" t="str">
        <f>IF(U67="","",IFERROR(U67/$U$15*$X$15,""))</f>
        <v/>
      </c>
      <c r="Y67" s="3" t="str">
        <f>IF(V67="","",IFERROR(V67/$V$15*$Y$15,""))</f>
        <v/>
      </c>
      <c r="Z67" s="3" t="str">
        <f>IF(COUNT(T67:V67)=0,"",SUM(W67:Y67))</f>
        <v/>
      </c>
      <c r="AA67" s="3" t="str">
        <f>IF(Z67="","",Z67*$AA$15)</f>
        <v/>
      </c>
      <c r="AB67" s="3" t="str">
        <f>IF(COUNT(F67:J67,N67:P67,T67:V67)=0,"",SUM(M67,S67,AA67))</f>
        <v/>
      </c>
      <c r="AC67" s="1" t="str">
        <f t="array" ref="AC67">IF(AB67="","",IFERROR(INDEX(HELPER!$D$8:$D$48,IFERROR(MATCH(AB67,HELPER!$B$8:$B$48,0),MATCH(AB67,HELPER!$B$8:$B$48,-1)+1)),""))</f>
        <v/>
      </c>
      <c r="AD67" t="str">
        <f t="array" ref="AD67">IF(AC67="","",IFERROR(INDEX(HELPER!$G$8:$G$48,MATCH(AC67,HELPER!$F$8:$F$48,-1)),""))</f>
        <v/>
      </c>
    </row>
    <row r="68" ht="14.25" customHeight="1">
      <c r="B68" t="str">
        <v>FEMALE</v>
      </c>
    </row>
    <row r="69" ht="15" customHeight="1">
      <c r="B69">
        <v>1</v>
      </c>
      <c r="C69" t="str">
        <f>IF('INPUT DATA'!N11="","",'INPUT DATA'!N11)</f>
        <v/>
      </c>
      <c r="K69" t="str">
        <f>IF(COUNT($F69:$J69)=0,"",SUM($F69:$J69))</f>
        <v/>
      </c>
      <c r="L69" s="3" t="str">
        <f>IF(COUNT(F69:J69)=0,"",IFERROR(K69/$K$15*$L$15,""))</f>
        <v/>
      </c>
      <c r="M69" s="3" t="str">
        <f>IF(L69="","",L69*$M$15)</f>
        <v/>
      </c>
      <c r="Q69" t="str">
        <f>IF(COUNT(N69:P69)=0,"",SUM(N69:P69))</f>
        <v/>
      </c>
      <c r="R69" s="3" t="str">
        <f>IF(COUNT(N69:P69)=0,"",IFERROR(Q69/$Q$15*$R$15,""))</f>
        <v/>
      </c>
      <c r="S69" s="3" t="str">
        <f>IF(R69="","",R69*$S$15)</f>
        <v/>
      </c>
      <c r="W69" s="3" t="str">
        <f>IF(T69="","",IFERROR(T69/$T$15*$W$15,""))</f>
        <v/>
      </c>
      <c r="X69" s="3" t="str">
        <f>IF(U69="","",IFERROR(U69/$U$15*$X$15,""))</f>
        <v/>
      </c>
      <c r="Y69" s="3" t="str">
        <f>IF(V69="","",IFERROR(V69/$V$15*$Y$15,""))</f>
        <v/>
      </c>
      <c r="Z69" s="3" t="str">
        <f>IF(COUNT(T69:V69)=0,"",SUM(W69:Y69))</f>
        <v/>
      </c>
      <c r="AA69" s="3" t="str">
        <f>IF(Z69="","",Z69*$AA$15)</f>
        <v/>
      </c>
      <c r="AB69" s="3" t="str">
        <f>IF(COUNT(F69:J69,N69:P69,T69:V69)=0,"",SUM(M69,S69,AA69))</f>
        <v/>
      </c>
      <c r="AC69" s="1" t="str">
        <f t="array" ref="AC69">IF(AB69="","",IFERROR(INDEX(HELPER!$D$8:$D$48,IFERROR(MATCH(AB69,HELPER!$B$8:$B$48,0),MATCH(AB69,HELPER!$B$8:$B$48,-1)+1)),""))</f>
        <v/>
      </c>
      <c r="AD69" t="str">
        <f t="array" ref="AD69">IF(AC69="","",IFERROR(INDEX(HELPER!$G$8:$G$48,MATCH(AC69,HELPER!$F$8:$F$48,-1)),""))</f>
        <v/>
      </c>
    </row>
    <row r="70" ht="15" customHeight="1">
      <c r="B70">
        <v>2</v>
      </c>
      <c r="C70" t="str">
        <f>IF('INPUT DATA'!N12="","",'INPUT DATA'!N12)</f>
        <v/>
      </c>
      <c r="K70" t="str">
        <f>IF(COUNT($F70:$J70)=0,"",SUM($F70:$J70))</f>
        <v/>
      </c>
      <c r="L70" s="3" t="str">
        <f>IF(COUNT(F70:J70)=0,"",IFERROR(K70/$K$15*$L$15,""))</f>
        <v/>
      </c>
      <c r="M70" s="3" t="str">
        <f>IF(L70="","",L70*$M$15)</f>
        <v/>
      </c>
      <c r="Q70" t="str">
        <f>IF(COUNT(N70:P70)=0,"",SUM(N70:P70))</f>
        <v/>
      </c>
      <c r="R70" s="3" t="str">
        <f>IF(COUNT(N70:P70)=0,"",IFERROR(Q70/$Q$15*$R$15,""))</f>
        <v/>
      </c>
      <c r="S70" s="3" t="str">
        <f>IF(R70="","",R70*$S$15)</f>
        <v/>
      </c>
      <c r="W70" s="3" t="str">
        <f>IF(T70="","",IFERROR(T70/$T$15*$W$15,""))</f>
        <v/>
      </c>
      <c r="X70" s="3" t="str">
        <f>IF(U70="","",IFERROR(U70/$U$15*$X$15,""))</f>
        <v/>
      </c>
      <c r="Y70" s="3" t="str">
        <f>IF(V70="","",IFERROR(V70/$V$15*$Y$15,""))</f>
        <v/>
      </c>
      <c r="Z70" s="3" t="str">
        <f>IF(COUNT(T70:V70)=0,"",SUM(W70:Y70))</f>
        <v/>
      </c>
      <c r="AA70" s="3" t="str">
        <f>IF(Z70="","",Z70*$AA$15)</f>
        <v/>
      </c>
      <c r="AB70" s="3" t="str">
        <f>IF(COUNT(F70:J70,N70:P70,T70:V70)=0,"",SUM(M70,S70,AA70))</f>
        <v/>
      </c>
      <c r="AC70" s="1" t="str">
        <f t="array" ref="AC70">IF(AB70="","",IFERROR(INDEX(HELPER!$D$8:$D$48,IFERROR(MATCH(AB70,HELPER!$B$8:$B$48,0),MATCH(AB70,HELPER!$B$8:$B$48,-1)+1)),""))</f>
        <v/>
      </c>
      <c r="AD70" t="str">
        <f t="array" ref="AD70">IF(AC70="","",IFERROR(INDEX(HELPER!$G$8:$G$48,MATCH(AC70,HELPER!$F$8:$F$48,-1)),""))</f>
        <v/>
      </c>
    </row>
    <row r="71" ht="15" customHeight="1">
      <c r="B71">
        <v>3</v>
      </c>
      <c r="C71" t="str">
        <f>IF('INPUT DATA'!N13="","",'INPUT DATA'!N13)</f>
        <v/>
      </c>
      <c r="K71" t="str">
        <f>IF(COUNT($F71:$J71)=0,"",SUM($F71:$J71))</f>
        <v/>
      </c>
      <c r="L71" s="3" t="str">
        <f>IF(COUNT(F71:J71)=0,"",IFERROR(K71/$K$15*$L$15,""))</f>
        <v/>
      </c>
      <c r="M71" s="3" t="str">
        <f>IF(L71="","",L71*$M$15)</f>
        <v/>
      </c>
      <c r="Q71" t="str">
        <f>IF(COUNT(N71:P71)=0,"",SUM(N71:P71))</f>
        <v/>
      </c>
      <c r="R71" s="3" t="str">
        <f>IF(COUNT(N71:P71)=0,"",IFERROR(Q71/$Q$15*$R$15,""))</f>
        <v/>
      </c>
      <c r="S71" s="3" t="str">
        <f>IF(R71="","",R71*$S$15)</f>
        <v/>
      </c>
      <c r="W71" s="3" t="str">
        <f>IF(T71="","",IFERROR(T71/$T$15*$W$15,""))</f>
        <v/>
      </c>
      <c r="X71" s="3" t="str">
        <f>IF(U71="","",IFERROR(U71/$U$15*$X$15,""))</f>
        <v/>
      </c>
      <c r="Y71" s="3" t="str">
        <f>IF(V71="","",IFERROR(V71/$V$15*$Y$15,""))</f>
        <v/>
      </c>
      <c r="Z71" s="3" t="str">
        <f>IF(COUNT(T71:V71)=0,"",SUM(W71:Y71))</f>
        <v/>
      </c>
      <c r="AA71" s="3" t="str">
        <f>IF(Z71="","",Z71*$AA$15)</f>
        <v/>
      </c>
      <c r="AB71" s="3" t="str">
        <f>IF(COUNT(F71:J71,N71:P71,T71:V71)=0,"",SUM(M71,S71,AA71))</f>
        <v/>
      </c>
      <c r="AC71" s="1" t="str">
        <f t="array" ref="AC71">IF(AB71="","",IFERROR(INDEX(HELPER!$D$8:$D$48,IFERROR(MATCH(AB71,HELPER!$B$8:$B$48,0),MATCH(AB71,HELPER!$B$8:$B$48,-1)+1)),""))</f>
        <v/>
      </c>
      <c r="AD71" t="str">
        <f t="array" ref="AD71">IF(AC71="","",IFERROR(INDEX(HELPER!$G$8:$G$48,MATCH(AC71,HELPER!$F$8:$F$48,-1)),""))</f>
        <v/>
      </c>
    </row>
    <row r="72" ht="15" customHeight="1">
      <c r="B72">
        <v>4</v>
      </c>
      <c r="C72" t="str">
        <f>IF('INPUT DATA'!N14="","",'INPUT DATA'!N14)</f>
        <v/>
      </c>
      <c r="K72" t="str">
        <f>IF(COUNT($F72:$J72)=0,"",SUM($F72:$J72))</f>
        <v/>
      </c>
      <c r="L72" s="3" t="str">
        <f>IF(COUNT(F72:J72)=0,"",IFERROR(K72/$K$15*$L$15,""))</f>
        <v/>
      </c>
      <c r="M72" s="3" t="str">
        <f>IF(L72="","",L72*$M$15)</f>
        <v/>
      </c>
      <c r="Q72" t="str">
        <f>IF(COUNT(N72:P72)=0,"",SUM(N72:P72))</f>
        <v/>
      </c>
      <c r="R72" s="3" t="str">
        <f>IF(COUNT(N72:P72)=0,"",IFERROR(Q72/$Q$15*$R$15,""))</f>
        <v/>
      </c>
      <c r="S72" s="3" t="str">
        <f>IF(R72="","",R72*$S$15)</f>
        <v/>
      </c>
      <c r="W72" s="3" t="str">
        <f>IF(T72="","",IFERROR(T72/$T$15*$W$15,""))</f>
        <v/>
      </c>
      <c r="X72" s="3" t="str">
        <f>IF(U72="","",IFERROR(U72/$U$15*$X$15,""))</f>
        <v/>
      </c>
      <c r="Y72" s="3" t="str">
        <f>IF(V72="","",IFERROR(V72/$V$15*$Y$15,""))</f>
        <v/>
      </c>
      <c r="Z72" s="3" t="str">
        <f>IF(COUNT(T72:V72)=0,"",SUM(W72:Y72))</f>
        <v/>
      </c>
      <c r="AA72" s="3" t="str">
        <f>IF(Z72="","",Z72*$AA$15)</f>
        <v/>
      </c>
      <c r="AB72" s="3" t="str">
        <f>IF(COUNT(F72:J72,N72:P72,T72:V72)=0,"",SUM(M72,S72,AA72))</f>
        <v/>
      </c>
      <c r="AC72" s="1" t="str">
        <f t="array" ref="AC72">IF(AB72="","",IFERROR(INDEX(HELPER!$D$8:$D$48,IFERROR(MATCH(AB72,HELPER!$B$8:$B$48,0),MATCH(AB72,HELPER!$B$8:$B$48,-1)+1)),""))</f>
        <v/>
      </c>
      <c r="AD72" t="str">
        <f t="array" ref="AD72">IF(AC72="","",IFERROR(INDEX(HELPER!$G$8:$G$48,MATCH(AC72,HELPER!$F$8:$F$48,-1)),""))</f>
        <v/>
      </c>
    </row>
    <row r="73" ht="15" customHeight="1">
      <c r="B73">
        <v>5</v>
      </c>
      <c r="C73" t="str">
        <f>IF('INPUT DATA'!N15="","",'INPUT DATA'!N15)</f>
        <v/>
      </c>
      <c r="K73" t="str">
        <f>IF(COUNT($F73:$J73)=0,"",SUM($F73:$J73))</f>
        <v/>
      </c>
      <c r="L73" s="3" t="str">
        <f>IF(COUNT(F73:J73)=0,"",IFERROR(K73/$K$15*$L$15,""))</f>
        <v/>
      </c>
      <c r="M73" s="3" t="str">
        <f>IF(L73="","",L73*$M$15)</f>
        <v/>
      </c>
      <c r="Q73" t="str">
        <f>IF(COUNT(N73:P73)=0,"",SUM(N73:P73))</f>
        <v/>
      </c>
      <c r="R73" s="3" t="str">
        <f>IF(COUNT(N73:P73)=0,"",IFERROR(Q73/$Q$15*$R$15,""))</f>
        <v/>
      </c>
      <c r="S73" s="3" t="str">
        <f>IF(R73="","",R73*$S$15)</f>
        <v/>
      </c>
      <c r="W73" s="3" t="str">
        <f>IF(T73="","",IFERROR(T73/$T$15*$W$15,""))</f>
        <v/>
      </c>
      <c r="X73" s="3" t="str">
        <f>IF(U73="","",IFERROR(U73/$U$15*$X$15,""))</f>
        <v/>
      </c>
      <c r="Y73" s="3" t="str">
        <f>IF(V73="","",IFERROR(V73/$V$15*$Y$15,""))</f>
        <v/>
      </c>
      <c r="Z73" s="3" t="str">
        <f>IF(COUNT(T73:V73)=0,"",SUM(W73:Y73))</f>
        <v/>
      </c>
      <c r="AA73" s="3" t="str">
        <f>IF(Z73="","",Z73*$AA$15)</f>
        <v/>
      </c>
      <c r="AB73" s="3" t="str">
        <f>IF(COUNT(F73:J73,N73:P73,T73:V73)=0,"",SUM(M73,S73,AA73))</f>
        <v/>
      </c>
      <c r="AC73" s="1" t="str">
        <f t="array" ref="AC73">IF(AB73="","",IFERROR(INDEX(HELPER!$D$8:$D$48,IFERROR(MATCH(AB73,HELPER!$B$8:$B$48,0),MATCH(AB73,HELPER!$B$8:$B$48,-1)+1)),""))</f>
        <v/>
      </c>
      <c r="AD73" t="str">
        <f t="array" ref="AD73">IF(AC73="","",IFERROR(INDEX(HELPER!$G$8:$G$48,MATCH(AC73,HELPER!$F$8:$F$48,-1)),""))</f>
        <v/>
      </c>
    </row>
    <row r="74" ht="15" customHeight="1">
      <c r="B74">
        <v>6</v>
      </c>
      <c r="C74" t="str">
        <f>IF('INPUT DATA'!N16="","",'INPUT DATA'!N16)</f>
        <v/>
      </c>
      <c r="K74" t="str">
        <f>IF(COUNT($F74:$J74)=0,"",SUM($F74:$J74))</f>
        <v/>
      </c>
      <c r="L74" s="3" t="str">
        <f>IF(COUNT(F74:J74)=0,"",IFERROR(K74/$K$15*$L$15,""))</f>
        <v/>
      </c>
      <c r="M74" s="3" t="str">
        <f>IF(L74="","",L74*$M$15)</f>
        <v/>
      </c>
      <c r="Q74" t="str">
        <f>IF(COUNT(N74:P74)=0,"",SUM(N74:P74))</f>
        <v/>
      </c>
      <c r="R74" s="3" t="str">
        <f>IF(COUNT(N74:P74)=0,"",IFERROR(Q74/$Q$15*$R$15,""))</f>
        <v/>
      </c>
      <c r="S74" s="3" t="str">
        <f>IF(R74="","",R74*$S$15)</f>
        <v/>
      </c>
      <c r="W74" s="3" t="str">
        <f>IF(T74="","",IFERROR(T74/$T$15*$W$15,""))</f>
        <v/>
      </c>
      <c r="X74" s="3" t="str">
        <f>IF(U74="","",IFERROR(U74/$U$15*$X$15,""))</f>
        <v/>
      </c>
      <c r="Y74" s="3" t="str">
        <f>IF(V74="","",IFERROR(V74/$V$15*$Y$15,""))</f>
        <v/>
      </c>
      <c r="Z74" s="3" t="str">
        <f>IF(COUNT(T74:V74)=0,"",SUM(W74:Y74))</f>
        <v/>
      </c>
      <c r="AA74" s="3" t="str">
        <f>IF(Z74="","",Z74*$AA$15)</f>
        <v/>
      </c>
      <c r="AB74" s="3" t="str">
        <f>IF(COUNT(F74:J74,N74:P74,T74:V74)=0,"",SUM(M74,S74,AA74))</f>
        <v/>
      </c>
      <c r="AC74" s="1" t="str">
        <f t="array" ref="AC74">IF(AB74="","",IFERROR(INDEX(HELPER!$D$8:$D$48,IFERROR(MATCH(AB74,HELPER!$B$8:$B$48,0),MATCH(AB74,HELPER!$B$8:$B$48,-1)+1)),""))</f>
        <v/>
      </c>
      <c r="AD74" t="str">
        <f t="array" ref="AD74">IF(AC74="","",IFERROR(INDEX(HELPER!$G$8:$G$48,MATCH(AC74,HELPER!$F$8:$F$48,-1)),""))</f>
        <v/>
      </c>
    </row>
    <row r="75" ht="15" customHeight="1">
      <c r="B75">
        <v>7</v>
      </c>
      <c r="C75" t="str">
        <f>IF('INPUT DATA'!N17="","",'INPUT DATA'!N17)</f>
        <v/>
      </c>
      <c r="K75" t="str">
        <f>IF(COUNT($F75:$J75)=0,"",SUM($F75:$J75))</f>
        <v/>
      </c>
      <c r="L75" s="3" t="str">
        <f>IF(COUNT(F75:J75)=0,"",IFERROR(K75/$K$15*$L$15,""))</f>
        <v/>
      </c>
      <c r="M75" s="3" t="str">
        <f>IF(L75="","",L75*$M$15)</f>
        <v/>
      </c>
      <c r="Q75" t="str">
        <f>IF(COUNT(N75:P75)=0,"",SUM(N75:P75))</f>
        <v/>
      </c>
      <c r="R75" s="3" t="str">
        <f>IF(COUNT(N75:P75)=0,"",IFERROR(Q75/$Q$15*$R$15,""))</f>
        <v/>
      </c>
      <c r="S75" s="3" t="str">
        <f>IF(R75="","",R75*$S$15)</f>
        <v/>
      </c>
      <c r="W75" s="3" t="str">
        <f>IF(T75="","",IFERROR(T75/$T$15*$W$15,""))</f>
        <v/>
      </c>
      <c r="X75" s="3" t="str">
        <f>IF(U75="","",IFERROR(U75/$U$15*$X$15,""))</f>
        <v/>
      </c>
      <c r="Y75" s="3" t="str">
        <f>IF(V75="","",IFERROR(V75/$V$15*$Y$15,""))</f>
        <v/>
      </c>
      <c r="Z75" s="3" t="str">
        <f>IF(COUNT(T75:V75)=0,"",SUM(W75:Y75))</f>
        <v/>
      </c>
      <c r="AA75" s="3" t="str">
        <f>IF(Z75="","",Z75*$AA$15)</f>
        <v/>
      </c>
      <c r="AB75" s="3" t="str">
        <f>IF(COUNT(F75:J75,N75:P75,T75:V75)=0,"",SUM(M75,S75,AA75))</f>
        <v/>
      </c>
      <c r="AC75" s="1" t="str">
        <f t="array" ref="AC75">IF(AB75="","",IFERROR(INDEX(HELPER!$D$8:$D$48,IFERROR(MATCH(AB75,HELPER!$B$8:$B$48,0),MATCH(AB75,HELPER!$B$8:$B$48,-1)+1)),""))</f>
        <v/>
      </c>
      <c r="AD75" t="str">
        <f t="array" ref="AD75">IF(AC75="","",IFERROR(INDEX(HELPER!$G$8:$G$48,MATCH(AC75,HELPER!$F$8:$F$48,-1)),""))</f>
        <v/>
      </c>
    </row>
    <row r="76" ht="15" customHeight="1">
      <c r="B76">
        <v>8</v>
      </c>
      <c r="C76" t="str">
        <f>IF('INPUT DATA'!N18="","",'INPUT DATA'!N18)</f>
        <v/>
      </c>
      <c r="K76" t="str">
        <f>IF(COUNT($F76:$J76)=0,"",SUM($F76:$J76))</f>
        <v/>
      </c>
      <c r="L76" s="3" t="str">
        <f>IF(COUNT(F76:J76)=0,"",IFERROR(K76/$K$15*$L$15,""))</f>
        <v/>
      </c>
      <c r="M76" s="3" t="str">
        <f>IF(L76="","",L76*$M$15)</f>
        <v/>
      </c>
      <c r="Q76" t="str">
        <f>IF(COUNT(N76:P76)=0,"",SUM(N76:P76))</f>
        <v/>
      </c>
      <c r="R76" s="3" t="str">
        <f>IF(COUNT(N76:P76)=0,"",IFERROR(Q76/$Q$15*$R$15,""))</f>
        <v/>
      </c>
      <c r="S76" s="3" t="str">
        <f>IF(R76="","",R76*$S$15)</f>
        <v/>
      </c>
      <c r="W76" s="3" t="str">
        <f>IF(T76="","",IFERROR(T76/$T$15*$W$15,""))</f>
        <v/>
      </c>
      <c r="X76" s="3" t="str">
        <f>IF(U76="","",IFERROR(U76/$U$15*$X$15,""))</f>
        <v/>
      </c>
      <c r="Y76" s="3" t="str">
        <f>IF(V76="","",IFERROR(V76/$V$15*$Y$15,""))</f>
        <v/>
      </c>
      <c r="Z76" s="3" t="str">
        <f>IF(COUNT(T76:V76)=0,"",SUM(W76:Y76))</f>
        <v/>
      </c>
      <c r="AA76" s="3" t="str">
        <f>IF(Z76="","",Z76*$AA$15)</f>
        <v/>
      </c>
      <c r="AB76" s="3" t="str">
        <f>IF(COUNT(F76:J76,N76:P76,T76:V76)=0,"",SUM(M76,S76,AA76))</f>
        <v/>
      </c>
      <c r="AC76" s="1" t="str">
        <f t="array" ref="AC76">IF(AB76="","",IFERROR(INDEX(HELPER!$D$8:$D$48,IFERROR(MATCH(AB76,HELPER!$B$8:$B$48,0),MATCH(AB76,HELPER!$B$8:$B$48,-1)+1)),""))</f>
        <v/>
      </c>
      <c r="AD76" t="str">
        <f t="array" ref="AD76">IF(AC76="","",IFERROR(INDEX(HELPER!$G$8:$G$48,MATCH(AC76,HELPER!$F$8:$F$48,-1)),""))</f>
        <v/>
      </c>
    </row>
    <row r="77" ht="15" customHeight="1">
      <c r="B77">
        <v>9</v>
      </c>
      <c r="C77" t="str">
        <f>IF('INPUT DATA'!N19="","",'INPUT DATA'!N19)</f>
        <v/>
      </c>
      <c r="K77" t="str">
        <f>IF(COUNT($F77:$J77)=0,"",SUM($F77:$J77))</f>
        <v/>
      </c>
      <c r="L77" s="3" t="str">
        <f>IF(COUNT(F77:J77)=0,"",IFERROR(K77/$K$15*$L$15,""))</f>
        <v/>
      </c>
      <c r="M77" s="3" t="str">
        <f>IF(L77="","",L77*$M$15)</f>
        <v/>
      </c>
      <c r="Q77" t="str">
        <f>IF(COUNT(N77:P77)=0,"",SUM(N77:P77))</f>
        <v/>
      </c>
      <c r="R77" s="3" t="str">
        <f>IF(COUNT(N77:P77)=0,"",IFERROR(Q77/$Q$15*$R$15,""))</f>
        <v/>
      </c>
      <c r="S77" s="3" t="str">
        <f>IF(R77="","",R77*$S$15)</f>
        <v/>
      </c>
      <c r="W77" s="3" t="str">
        <f>IF(T77="","",IFERROR(T77/$T$15*$W$15,""))</f>
        <v/>
      </c>
      <c r="X77" s="3" t="str">
        <f>IF(U77="","",IFERROR(U77/$U$15*$X$15,""))</f>
        <v/>
      </c>
      <c r="Y77" s="3" t="str">
        <f>IF(V77="","",IFERROR(V77/$V$15*$Y$15,""))</f>
        <v/>
      </c>
      <c r="Z77" s="3" t="str">
        <f>IF(COUNT(T77:V77)=0,"",SUM(W77:Y77))</f>
        <v/>
      </c>
      <c r="AA77" s="3" t="str">
        <f>IF(Z77="","",Z77*$AA$15)</f>
        <v/>
      </c>
      <c r="AB77" s="3" t="str">
        <f>IF(COUNT(F77:J77,N77:P77,T77:V77)=0,"",SUM(M77,S77,AA77))</f>
        <v/>
      </c>
      <c r="AC77" s="1" t="str">
        <f t="array" ref="AC77">IF(AB77="","",IFERROR(INDEX(HELPER!$D$8:$D$48,IFERROR(MATCH(AB77,HELPER!$B$8:$B$48,0),MATCH(AB77,HELPER!$B$8:$B$48,-1)+1)),""))</f>
        <v/>
      </c>
      <c r="AD77" t="str">
        <f t="array" ref="AD77">IF(AC77="","",IFERROR(INDEX(HELPER!$G$8:$G$48,MATCH(AC77,HELPER!$F$8:$F$48,-1)),""))</f>
        <v/>
      </c>
    </row>
    <row r="78" ht="15" customHeight="1">
      <c r="B78">
        <v>10</v>
      </c>
      <c r="C78" t="str">
        <f>IF('INPUT DATA'!N20="","",'INPUT DATA'!N20)</f>
        <v/>
      </c>
      <c r="K78" t="str">
        <f>IF(COUNT($F78:$J78)=0,"",SUM($F78:$J78))</f>
        <v/>
      </c>
      <c r="L78" s="3" t="str">
        <f>IF(COUNT(F78:J78)=0,"",IFERROR(K78/$K$15*$L$15,""))</f>
        <v/>
      </c>
      <c r="M78" s="3" t="str">
        <f>IF(L78="","",L78*$M$15)</f>
        <v/>
      </c>
      <c r="Q78" t="str">
        <f>IF(COUNT(N78:P78)=0,"",SUM(N78:P78))</f>
        <v/>
      </c>
      <c r="R78" s="3" t="str">
        <f>IF(COUNT(N78:P78)=0,"",IFERROR(Q78/$Q$15*$R$15,""))</f>
        <v/>
      </c>
      <c r="S78" s="3" t="str">
        <f>IF(R78="","",R78*$S$15)</f>
        <v/>
      </c>
      <c r="W78" s="3" t="str">
        <f>IF(T78="","",IFERROR(T78/$T$15*$W$15,""))</f>
        <v/>
      </c>
      <c r="X78" s="3" t="str">
        <f>IF(U78="","",IFERROR(U78/$U$15*$X$15,""))</f>
        <v/>
      </c>
      <c r="Y78" s="3" t="str">
        <f>IF(V78="","",IFERROR(V78/$V$15*$Y$15,""))</f>
        <v/>
      </c>
      <c r="Z78" s="3" t="str">
        <f>IF(COUNT(T78:V78)=0,"",SUM(W78:Y78))</f>
        <v/>
      </c>
      <c r="AA78" s="3" t="str">
        <f>IF(Z78="","",Z78*$AA$15)</f>
        <v/>
      </c>
      <c r="AB78" s="3" t="str">
        <f>IF(COUNT(F78:J78,N78:P78,T78:V78)=0,"",SUM(M78,S78,AA78))</f>
        <v/>
      </c>
      <c r="AC78" s="1" t="str">
        <f t="array" ref="AC78">IF(AB78="","",IFERROR(INDEX(HELPER!$D$8:$D$48,IFERROR(MATCH(AB78,HELPER!$B$8:$B$48,0),MATCH(AB78,HELPER!$B$8:$B$48,-1)+1)),""))</f>
        <v/>
      </c>
      <c r="AD78" t="str">
        <f t="array" ref="AD78">IF(AC78="","",IFERROR(INDEX(HELPER!$G$8:$G$48,MATCH(AC78,HELPER!$F$8:$F$48,-1)),""))</f>
        <v/>
      </c>
    </row>
    <row r="79" ht="15" customHeight="1">
      <c r="B79">
        <v>11</v>
      </c>
      <c r="C79" t="str">
        <f>IF('INPUT DATA'!N21="","",'INPUT DATA'!N21)</f>
        <v/>
      </c>
      <c r="K79" t="str">
        <f>IF(COUNT($F79:$J79)=0,"",SUM($F79:$J79))</f>
        <v/>
      </c>
      <c r="L79" s="3" t="str">
        <f>IF(COUNT(F79:J79)=0,"",IFERROR(K79/$K$15*$L$15,""))</f>
        <v/>
      </c>
      <c r="M79" s="3" t="str">
        <f>IF(L79="","",L79*$M$15)</f>
        <v/>
      </c>
      <c r="Q79" t="str">
        <f>IF(COUNT(N79:P79)=0,"",SUM(N79:P79))</f>
        <v/>
      </c>
      <c r="R79" s="3" t="str">
        <f>IF(COUNT(N79:P79)=0,"",IFERROR(Q79/$Q$15*$R$15,""))</f>
        <v/>
      </c>
      <c r="S79" s="3" t="str">
        <f>IF(R79="","",R79*$S$15)</f>
        <v/>
      </c>
      <c r="W79" s="3" t="str">
        <f>IF(T79="","",IFERROR(T79/$T$15*$W$15,""))</f>
        <v/>
      </c>
      <c r="X79" s="3" t="str">
        <f>IF(U79="","",IFERROR(U79/$U$15*$X$15,""))</f>
        <v/>
      </c>
      <c r="Y79" s="3" t="str">
        <f>IF(V79="","",IFERROR(V79/$V$15*$Y$15,""))</f>
        <v/>
      </c>
      <c r="Z79" s="3" t="str">
        <f>IF(COUNT(T79:V79)=0,"",SUM(W79:Y79))</f>
        <v/>
      </c>
      <c r="AA79" s="3" t="str">
        <f>IF(Z79="","",Z79*$AA$15)</f>
        <v/>
      </c>
      <c r="AB79" s="3" t="str">
        <f>IF(COUNT(F79:J79,N79:P79,T79:V79)=0,"",SUM(M79,S79,AA79))</f>
        <v/>
      </c>
      <c r="AC79" s="1" t="str">
        <f t="array" ref="AC79">IF(AB79="","",IFERROR(INDEX(HELPER!$D$8:$D$48,IFERROR(MATCH(AB79,HELPER!$B$8:$B$48,0),MATCH(AB79,HELPER!$B$8:$B$48,-1)+1)),""))</f>
        <v/>
      </c>
      <c r="AD79" t="str">
        <f t="array" ref="AD79">IF(AC79="","",IFERROR(INDEX(HELPER!$G$8:$G$48,MATCH(AC79,HELPER!$F$8:$F$48,-1)),""))</f>
        <v/>
      </c>
    </row>
    <row r="80" ht="15" customHeight="1">
      <c r="B80">
        <v>12</v>
      </c>
      <c r="C80" t="str">
        <f>IF('INPUT DATA'!N22="","",'INPUT DATA'!N22)</f>
        <v/>
      </c>
      <c r="K80" t="str">
        <f>IF(COUNT($F80:$J80)=0,"",SUM($F80:$J80))</f>
        <v/>
      </c>
      <c r="L80" s="3" t="str">
        <f>IF(COUNT(F80:J80)=0,"",IFERROR(K80/$K$15*$L$15,""))</f>
        <v/>
      </c>
      <c r="M80" s="3" t="str">
        <f>IF(L80="","",L80*$M$15)</f>
        <v/>
      </c>
      <c r="Q80" t="str">
        <f>IF(COUNT(N80:P80)=0,"",SUM(N80:P80))</f>
        <v/>
      </c>
      <c r="R80" s="3" t="str">
        <f>IF(COUNT(N80:P80)=0,"",IFERROR(Q80/$Q$15*$R$15,""))</f>
        <v/>
      </c>
      <c r="S80" s="3" t="str">
        <f>IF(R80="","",R80*$S$15)</f>
        <v/>
      </c>
      <c r="W80" s="3" t="str">
        <f>IF(T80="","",IFERROR(T80/$T$15*$W$15,""))</f>
        <v/>
      </c>
      <c r="X80" s="3" t="str">
        <f>IF(U80="","",IFERROR(U80/$U$15*$X$15,""))</f>
        <v/>
      </c>
      <c r="Y80" s="3" t="str">
        <f>IF(V80="","",IFERROR(V80/$V$15*$Y$15,""))</f>
        <v/>
      </c>
      <c r="Z80" s="3" t="str">
        <f>IF(COUNT(T80:V80)=0,"",SUM(W80:Y80))</f>
        <v/>
      </c>
      <c r="AA80" s="3" t="str">
        <f>IF(Z80="","",Z80*$AA$15)</f>
        <v/>
      </c>
      <c r="AB80" s="3" t="str">
        <f>IF(COUNT(F80:J80,N80:P80,T80:V80)=0,"",SUM(M80,S80,AA80))</f>
        <v/>
      </c>
      <c r="AC80" s="1" t="str">
        <f t="array" ref="AC80">IF(AB80="","",IFERROR(INDEX(HELPER!$D$8:$D$48,IFERROR(MATCH(AB80,HELPER!$B$8:$B$48,0),MATCH(AB80,HELPER!$B$8:$B$48,-1)+1)),""))</f>
        <v/>
      </c>
      <c r="AD80" t="str">
        <f t="array" ref="AD80">IF(AC80="","",IFERROR(INDEX(HELPER!$G$8:$G$48,MATCH(AC80,HELPER!$F$8:$F$48,-1)),""))</f>
        <v/>
      </c>
    </row>
    <row r="81" ht="15" customHeight="1">
      <c r="B81">
        <v>13</v>
      </c>
      <c r="C81" t="str">
        <f>IF('INPUT DATA'!N23="","",'INPUT DATA'!N23)</f>
        <v/>
      </c>
      <c r="K81" t="str">
        <f>IF(COUNT($F81:$J81)=0,"",SUM($F81:$J81))</f>
        <v/>
      </c>
      <c r="L81" s="3" t="str">
        <f>IF(COUNT(F81:J81)=0,"",IFERROR(K81/$K$15*$L$15,""))</f>
        <v/>
      </c>
      <c r="M81" s="3" t="str">
        <f>IF(L81="","",L81*$M$15)</f>
        <v/>
      </c>
      <c r="Q81" t="str">
        <f>IF(COUNT(N81:P81)=0,"",SUM(N81:P81))</f>
        <v/>
      </c>
      <c r="R81" s="3" t="str">
        <f>IF(COUNT(N81:P81)=0,"",IFERROR(Q81/$Q$15*$R$15,""))</f>
        <v/>
      </c>
      <c r="S81" s="3" t="str">
        <f>IF(R81="","",R81*$S$15)</f>
        <v/>
      </c>
      <c r="W81" s="3" t="str">
        <f>IF(T81="","",IFERROR(T81/$T$15*$W$15,""))</f>
        <v/>
      </c>
      <c r="X81" s="3" t="str">
        <f>IF(U81="","",IFERROR(U81/$U$15*$X$15,""))</f>
        <v/>
      </c>
      <c r="Y81" s="3" t="str">
        <f>IF(V81="","",IFERROR(V81/$V$15*$Y$15,""))</f>
        <v/>
      </c>
      <c r="Z81" s="3" t="str">
        <f>IF(COUNT(T81:V81)=0,"",SUM(W81:Y81))</f>
        <v/>
      </c>
      <c r="AA81" s="3" t="str">
        <f>IF(Z81="","",Z81*$AA$15)</f>
        <v/>
      </c>
      <c r="AB81" s="3" t="str">
        <f>IF(COUNT(F81:J81,N81:P81,T81:V81)=0,"",SUM(M81,S81,AA81))</f>
        <v/>
      </c>
      <c r="AC81" s="1" t="str">
        <f t="array" ref="AC81">IF(AB81="","",IFERROR(INDEX(HELPER!$D$8:$D$48,IFERROR(MATCH(AB81,HELPER!$B$8:$B$48,0),MATCH(AB81,HELPER!$B$8:$B$48,-1)+1)),""))</f>
        <v/>
      </c>
      <c r="AD81" t="str">
        <f t="array" ref="AD81">IF(AC81="","",IFERROR(INDEX(HELPER!$G$8:$G$48,MATCH(AC81,HELPER!$F$8:$F$48,-1)),""))</f>
        <v/>
      </c>
    </row>
    <row r="82" ht="15" customHeight="1">
      <c r="B82">
        <v>14</v>
      </c>
      <c r="C82" t="str">
        <f>IF('INPUT DATA'!N24="","",'INPUT DATA'!N24)</f>
        <v/>
      </c>
      <c r="K82" t="str">
        <f>IF(COUNT($F82:$J82)=0,"",SUM($F82:$J82))</f>
        <v/>
      </c>
      <c r="L82" s="3" t="str">
        <f>IF(COUNT(F82:J82)=0,"",IFERROR(K82/$K$15*$L$15,""))</f>
        <v/>
      </c>
      <c r="M82" s="3" t="str">
        <f>IF(L82="","",L82*$M$15)</f>
        <v/>
      </c>
      <c r="Q82" t="str">
        <f>IF(COUNT(N82:P82)=0,"",SUM(N82:P82))</f>
        <v/>
      </c>
      <c r="R82" s="3" t="str">
        <f>IF(COUNT(N82:P82)=0,"",IFERROR(Q82/$Q$15*$R$15,""))</f>
        <v/>
      </c>
      <c r="S82" s="3" t="str">
        <f>IF(R82="","",R82*$S$15)</f>
        <v/>
      </c>
      <c r="W82" s="3" t="str">
        <f>IF(T82="","",IFERROR(T82/$T$15*$W$15,""))</f>
        <v/>
      </c>
      <c r="X82" s="3" t="str">
        <f>IF(U82="","",IFERROR(U82/$U$15*$X$15,""))</f>
        <v/>
      </c>
      <c r="Y82" s="3" t="str">
        <f>IF(V82="","",IFERROR(V82/$V$15*$Y$15,""))</f>
        <v/>
      </c>
      <c r="Z82" s="3" t="str">
        <f>IF(COUNT(T82:V82)=0,"",SUM(W82:Y82))</f>
        <v/>
      </c>
      <c r="AA82" s="3" t="str">
        <f>IF(Z82="","",Z82*$AA$15)</f>
        <v/>
      </c>
      <c r="AB82" s="3" t="str">
        <f>IF(COUNT(F82:J82,N82:P82,T82:V82)=0,"",SUM(M82,S82,AA82))</f>
        <v/>
      </c>
      <c r="AC82" s="1" t="str">
        <f t="array" ref="AC82">IF(AB82="","",IFERROR(INDEX(HELPER!$D$8:$D$48,IFERROR(MATCH(AB82,HELPER!$B$8:$B$48,0),MATCH(AB82,HELPER!$B$8:$B$48,-1)+1)),""))</f>
        <v/>
      </c>
      <c r="AD82" t="str">
        <f t="array" ref="AD82">IF(AC82="","",IFERROR(INDEX(HELPER!$G$8:$G$48,MATCH(AC82,HELPER!$F$8:$F$48,-1)),""))</f>
        <v/>
      </c>
    </row>
    <row r="83" ht="15" customHeight="1">
      <c r="B83">
        <v>15</v>
      </c>
      <c r="C83" t="str">
        <f>IF('INPUT DATA'!N25="","",'INPUT DATA'!N25)</f>
        <v/>
      </c>
      <c r="K83" t="str">
        <f>IF(COUNT($F83:$J83)=0,"",SUM($F83:$J83))</f>
        <v/>
      </c>
      <c r="L83" s="3" t="str">
        <f>IF(COUNT(F83:J83)=0,"",IFERROR(K83/$K$15*$L$15,""))</f>
        <v/>
      </c>
      <c r="M83" s="3" t="str">
        <f>IF(L83="","",L83*$M$15)</f>
        <v/>
      </c>
      <c r="Q83" t="str">
        <f>IF(COUNT(N83:P83)=0,"",SUM(N83:P83))</f>
        <v/>
      </c>
      <c r="R83" s="3" t="str">
        <f>IF(COUNT(N83:P83)=0,"",IFERROR(Q83/$Q$15*$R$15,""))</f>
        <v/>
      </c>
      <c r="S83" s="3" t="str">
        <f>IF(R83="","",R83*$S$15)</f>
        <v/>
      </c>
      <c r="W83" s="3" t="str">
        <f>IF(T83="","",IFERROR(T83/$T$15*$W$15,""))</f>
        <v/>
      </c>
      <c r="X83" s="3" t="str">
        <f>IF(U83="","",IFERROR(U83/$U$15*$X$15,""))</f>
        <v/>
      </c>
      <c r="Y83" s="3" t="str">
        <f>IF(V83="","",IFERROR(V83/$V$15*$Y$15,""))</f>
        <v/>
      </c>
      <c r="Z83" s="3" t="str">
        <f>IF(COUNT(T83:V83)=0,"",SUM(W83:Y83))</f>
        <v/>
      </c>
      <c r="AA83" s="3" t="str">
        <f>IF(Z83="","",Z83*$AA$15)</f>
        <v/>
      </c>
      <c r="AB83" s="3" t="str">
        <f>IF(COUNT(F83:J83,N83:P83,T83:V83)=0,"",SUM(M83,S83,AA83))</f>
        <v/>
      </c>
      <c r="AC83" s="1" t="str">
        <f t="array" ref="AC83">IF(AB83="","",IFERROR(INDEX(HELPER!$D$8:$D$48,IFERROR(MATCH(AB83,HELPER!$B$8:$B$48,0),MATCH(AB83,HELPER!$B$8:$B$48,-1)+1)),""))</f>
        <v/>
      </c>
      <c r="AD83" t="str">
        <f t="array" ref="AD83">IF(AC83="","",IFERROR(INDEX(HELPER!$G$8:$G$48,MATCH(AC83,HELPER!$F$8:$F$48,-1)),""))</f>
        <v/>
      </c>
    </row>
    <row r="84" ht="15" customHeight="1">
      <c r="B84">
        <v>16</v>
      </c>
      <c r="C84" t="str">
        <f>IF('INPUT DATA'!N26="","",'INPUT DATA'!N26)</f>
        <v/>
      </c>
      <c r="K84" t="str">
        <f>IF(COUNT($F84:$J84)=0,"",SUM($F84:$J84))</f>
        <v/>
      </c>
      <c r="L84" s="3" t="str">
        <f>IF(COUNT(F84:J84)=0,"",IFERROR(K84/$K$15*$L$15,""))</f>
        <v/>
      </c>
      <c r="M84" s="3" t="str">
        <f>IF(L84="","",L84*$M$15)</f>
        <v/>
      </c>
      <c r="Q84" t="str">
        <f>IF(COUNT(N84:P84)=0,"",SUM(N84:P84))</f>
        <v/>
      </c>
      <c r="R84" s="3" t="str">
        <f>IF(COUNT(N84:P84)=0,"",IFERROR(Q84/$Q$15*$R$15,""))</f>
        <v/>
      </c>
      <c r="S84" s="3" t="str">
        <f>IF(R84="","",R84*$S$15)</f>
        <v/>
      </c>
      <c r="W84" s="3" t="str">
        <f>IF(T84="","",IFERROR(T84/$T$15*$W$15,""))</f>
        <v/>
      </c>
      <c r="X84" s="3" t="str">
        <f>IF(U84="","",IFERROR(U84/$U$15*$X$15,""))</f>
        <v/>
      </c>
      <c r="Y84" s="3" t="str">
        <f>IF(V84="","",IFERROR(V84/$V$15*$Y$15,""))</f>
        <v/>
      </c>
      <c r="Z84" s="3" t="str">
        <f>IF(COUNT(T84:V84)=0,"",SUM(W84:Y84))</f>
        <v/>
      </c>
      <c r="AA84" s="3" t="str">
        <f>IF(Z84="","",Z84*$AA$15)</f>
        <v/>
      </c>
      <c r="AB84" s="3" t="str">
        <f>IF(COUNT(F84:J84,N84:P84,T84:V84)=0,"",SUM(M84,S84,AA84))</f>
        <v/>
      </c>
      <c r="AC84" s="1" t="str">
        <f t="array" ref="AC84">IF(AB84="","",IFERROR(INDEX(HELPER!$D$8:$D$48,IFERROR(MATCH(AB84,HELPER!$B$8:$B$48,0),MATCH(AB84,HELPER!$B$8:$B$48,-1)+1)),""))</f>
        <v/>
      </c>
      <c r="AD84" t="str">
        <f t="array" ref="AD84">IF(AC84="","",IFERROR(INDEX(HELPER!$G$8:$G$48,MATCH(AC84,HELPER!$F$8:$F$48,-1)),""))</f>
        <v/>
      </c>
    </row>
    <row r="85" ht="15" customHeight="1">
      <c r="B85">
        <v>17</v>
      </c>
      <c r="C85" t="str">
        <f>IF('INPUT DATA'!N27="","",'INPUT DATA'!N27)</f>
        <v/>
      </c>
      <c r="K85" t="str">
        <f>IF(COUNT($F85:$J85)=0,"",SUM($F85:$J85))</f>
        <v/>
      </c>
      <c r="L85" s="3" t="str">
        <f>IF(COUNT(F85:J85)=0,"",IFERROR(K85/$K$15*$L$15,""))</f>
        <v/>
      </c>
      <c r="M85" s="3" t="str">
        <f>IF(L85="","",L85*$M$15)</f>
        <v/>
      </c>
      <c r="Q85" t="str">
        <f>IF(COUNT(N85:P85)=0,"",SUM(N85:P85))</f>
        <v/>
      </c>
      <c r="R85" s="3" t="str">
        <f>IF(COUNT(N85:P85)=0,"",IFERROR(Q85/$Q$15*$R$15,""))</f>
        <v/>
      </c>
      <c r="S85" s="3" t="str">
        <f>IF(R85="","",R85*$S$15)</f>
        <v/>
      </c>
      <c r="W85" s="3" t="str">
        <f>IF(T85="","",IFERROR(T85/$T$15*$W$15,""))</f>
        <v/>
      </c>
      <c r="X85" s="3" t="str">
        <f>IF(U85="","",IFERROR(U85/$U$15*$X$15,""))</f>
        <v/>
      </c>
      <c r="Y85" s="3" t="str">
        <f>IF(V85="","",IFERROR(V85/$V$15*$Y$15,""))</f>
        <v/>
      </c>
      <c r="Z85" s="3" t="str">
        <f>IF(COUNT(T85:V85)=0,"",SUM(W85:Y85))</f>
        <v/>
      </c>
      <c r="AA85" s="3" t="str">
        <f>IF(Z85="","",Z85*$AA$15)</f>
        <v/>
      </c>
      <c r="AB85" s="3" t="str">
        <f>IF(COUNT(F85:J85,N85:P85,T85:V85)=0,"",SUM(M85,S85,AA85))</f>
        <v/>
      </c>
      <c r="AC85" s="1" t="str">
        <f t="array" ref="AC85">IF(AB85="","",IFERROR(INDEX(HELPER!$D$8:$D$48,IFERROR(MATCH(AB85,HELPER!$B$8:$B$48,0),MATCH(AB85,HELPER!$B$8:$B$48,-1)+1)),""))</f>
        <v/>
      </c>
      <c r="AD85" t="str">
        <f t="array" ref="AD85">IF(AC85="","",IFERROR(INDEX(HELPER!$G$8:$G$48,MATCH(AC85,HELPER!$F$8:$F$48,-1)),""))</f>
        <v/>
      </c>
    </row>
    <row r="86" ht="15" customHeight="1">
      <c r="B86">
        <v>18</v>
      </c>
      <c r="C86" t="str">
        <f>IF('INPUT DATA'!N28="","",'INPUT DATA'!N28)</f>
        <v/>
      </c>
      <c r="K86" t="str">
        <f>IF(COUNT($F86:$J86)=0,"",SUM($F86:$J86))</f>
        <v/>
      </c>
      <c r="L86" s="3" t="str">
        <f>IF(COUNT(F86:J86)=0,"",IFERROR(K86/$K$15*$L$15,""))</f>
        <v/>
      </c>
      <c r="M86" s="3" t="str">
        <f>IF(L86="","",L86*$M$15)</f>
        <v/>
      </c>
      <c r="Q86" t="str">
        <f>IF(COUNT(N86:P86)=0,"",SUM(N86:P86))</f>
        <v/>
      </c>
      <c r="R86" s="3" t="str">
        <f>IF(COUNT(N86:P86)=0,"",IFERROR(Q86/$Q$15*$R$15,""))</f>
        <v/>
      </c>
      <c r="S86" s="3" t="str">
        <f>IF(R86="","",R86*$S$15)</f>
        <v/>
      </c>
      <c r="W86" s="3" t="str">
        <f>IF(T86="","",IFERROR(T86/$T$15*$W$15,""))</f>
        <v/>
      </c>
      <c r="X86" s="3" t="str">
        <f>IF(U86="","",IFERROR(U86/$U$15*$X$15,""))</f>
        <v/>
      </c>
      <c r="Y86" s="3" t="str">
        <f>IF(V86="","",IFERROR(V86/$V$15*$Y$15,""))</f>
        <v/>
      </c>
      <c r="Z86" s="3" t="str">
        <f>IF(COUNT(T86:V86)=0,"",SUM(W86:Y86))</f>
        <v/>
      </c>
      <c r="AA86" s="3" t="str">
        <f>IF(Z86="","",Z86*$AA$15)</f>
        <v/>
      </c>
      <c r="AB86" s="3" t="str">
        <f>IF(COUNT(F86:J86,N86:P86,T86:V86)=0,"",SUM(M86,S86,AA86))</f>
        <v/>
      </c>
      <c r="AC86" s="1" t="str">
        <f t="array" ref="AC86">IF(AB86="","",IFERROR(INDEX(HELPER!$D$8:$D$48,IFERROR(MATCH(AB86,HELPER!$B$8:$B$48,0),MATCH(AB86,HELPER!$B$8:$B$48,-1)+1)),""))</f>
        <v/>
      </c>
      <c r="AD86" t="str">
        <f t="array" ref="AD86">IF(AC86="","",IFERROR(INDEX(HELPER!$G$8:$G$48,MATCH(AC86,HELPER!$F$8:$F$48,-1)),""))</f>
        <v/>
      </c>
    </row>
    <row r="87" ht="15" customHeight="1">
      <c r="B87">
        <v>19</v>
      </c>
      <c r="C87" t="str">
        <f>IF('INPUT DATA'!N29="","",'INPUT DATA'!N29)</f>
        <v/>
      </c>
      <c r="K87" t="str">
        <f>IF(COUNT($F87:$J87)=0,"",SUM($F87:$J87))</f>
        <v/>
      </c>
      <c r="L87" s="3" t="str">
        <f>IF(COUNT(F87:J87)=0,"",IFERROR(K87/$K$15*$L$15,""))</f>
        <v/>
      </c>
      <c r="M87" s="3" t="str">
        <f>IF(L87="","",L87*$M$15)</f>
        <v/>
      </c>
      <c r="Q87" t="str">
        <f>IF(COUNT(N87:P87)=0,"",SUM(N87:P87))</f>
        <v/>
      </c>
      <c r="R87" s="3" t="str">
        <f>IF(COUNT(N87:P87)=0,"",IFERROR(Q87/$Q$15*$R$15,""))</f>
        <v/>
      </c>
      <c r="S87" s="3" t="str">
        <f>IF(R87="","",R87*$S$15)</f>
        <v/>
      </c>
      <c r="W87" s="3" t="str">
        <f>IF(T87="","",IFERROR(T87/$T$15*$W$15,""))</f>
        <v/>
      </c>
      <c r="X87" s="3" t="str">
        <f>IF(U87="","",IFERROR(U87/$U$15*$X$15,""))</f>
        <v/>
      </c>
      <c r="Y87" s="3" t="str">
        <f>IF(V87="","",IFERROR(V87/$V$15*$Y$15,""))</f>
        <v/>
      </c>
      <c r="Z87" s="3" t="str">
        <f>IF(COUNT(T87:V87)=0,"",SUM(W87:Y87))</f>
        <v/>
      </c>
      <c r="AA87" s="3" t="str">
        <f>IF(Z87="","",Z87*$AA$15)</f>
        <v/>
      </c>
      <c r="AB87" s="3" t="str">
        <f>IF(COUNT(F87:J87,N87:P87,T87:V87)=0,"",SUM(M87,S87,AA87))</f>
        <v/>
      </c>
      <c r="AC87" s="1" t="str">
        <f t="array" ref="AC87">IF(AB87="","",IFERROR(INDEX(HELPER!$D$8:$D$48,IFERROR(MATCH(AB87,HELPER!$B$8:$B$48,0),MATCH(AB87,HELPER!$B$8:$B$48,-1)+1)),""))</f>
        <v/>
      </c>
      <c r="AD87" t="str">
        <f t="array" ref="AD87">IF(AC87="","",IFERROR(INDEX(HELPER!$G$8:$G$48,MATCH(AC87,HELPER!$F$8:$F$48,-1)),""))</f>
        <v/>
      </c>
    </row>
    <row r="88" ht="15" customHeight="1">
      <c r="B88">
        <v>20</v>
      </c>
      <c r="C88" t="str">
        <f>IF('INPUT DATA'!N30="","",'INPUT DATA'!N30)</f>
        <v/>
      </c>
      <c r="K88" t="str">
        <f>IF(COUNT($F88:$J88)=0,"",SUM($F88:$J88))</f>
        <v/>
      </c>
      <c r="L88" s="3" t="str">
        <f>IF(COUNT(F88:J88)=0,"",IFERROR(K88/$K$15*$L$15,""))</f>
        <v/>
      </c>
      <c r="M88" s="3" t="str">
        <f>IF(L88="","",L88*$M$15)</f>
        <v/>
      </c>
      <c r="Q88" t="str">
        <f>IF(COUNT(N88:P88)=0,"",SUM(N88:P88))</f>
        <v/>
      </c>
      <c r="R88" s="3" t="str">
        <f>IF(COUNT(N88:P88)=0,"",IFERROR(Q88/$Q$15*$R$15,""))</f>
        <v/>
      </c>
      <c r="S88" s="3" t="str">
        <f>IF(R88="","",R88*$S$15)</f>
        <v/>
      </c>
      <c r="W88" s="3" t="str">
        <f>IF(T88="","",IFERROR(T88/$T$15*$W$15,""))</f>
        <v/>
      </c>
      <c r="X88" s="3" t="str">
        <f>IF(U88="","",IFERROR(U88/$U$15*$X$15,""))</f>
        <v/>
      </c>
      <c r="Y88" s="3" t="str">
        <f>IF(V88="","",IFERROR(V88/$V$15*$Y$15,""))</f>
        <v/>
      </c>
      <c r="Z88" s="3" t="str">
        <f>IF(COUNT(T88:V88)=0,"",SUM(W88:Y88))</f>
        <v/>
      </c>
      <c r="AA88" s="3" t="str">
        <f>IF(Z88="","",Z88*$AA$15)</f>
        <v/>
      </c>
      <c r="AB88" s="3" t="str">
        <f>IF(COUNT(F88:J88,N88:P88,T88:V88)=0,"",SUM(M88,S88,AA88))</f>
        <v/>
      </c>
      <c r="AC88" s="1" t="str">
        <f t="array" ref="AC88">IF(AB88="","",IFERROR(INDEX(HELPER!$D$8:$D$48,IFERROR(MATCH(AB88,HELPER!$B$8:$B$48,0),MATCH(AB88,HELPER!$B$8:$B$48,-1)+1)),""))</f>
        <v/>
      </c>
      <c r="AD88" t="str">
        <f t="array" ref="AD88">IF(AC88="","",IFERROR(INDEX(HELPER!$G$8:$G$48,MATCH(AC88,HELPER!$F$8:$F$48,-1)),""))</f>
        <v/>
      </c>
    </row>
    <row r="89" ht="15" customHeight="1">
      <c r="B89">
        <v>21</v>
      </c>
      <c r="C89" t="str">
        <f>IF('INPUT DATA'!N31="","",'INPUT DATA'!N31)</f>
        <v/>
      </c>
      <c r="K89" t="str">
        <f>IF(COUNT($F89:$J89)=0,"",SUM($F89:$J89))</f>
        <v/>
      </c>
      <c r="L89" s="3" t="str">
        <f>IF(COUNT(F89:J89)=0,"",IFERROR(K89/$K$15*$L$15,""))</f>
        <v/>
      </c>
      <c r="M89" s="3" t="str">
        <f>IF(L89="","",L89*$M$15)</f>
        <v/>
      </c>
      <c r="Q89" t="str">
        <f>IF(COUNT(N89:P89)=0,"",SUM(N89:P89))</f>
        <v/>
      </c>
      <c r="R89" s="3" t="str">
        <f>IF(COUNT(N89:P89)=0,"",IFERROR(Q89/$Q$15*$R$15,""))</f>
        <v/>
      </c>
      <c r="S89" s="3" t="str">
        <f>IF(R89="","",R89*$S$15)</f>
        <v/>
      </c>
      <c r="W89" s="3" t="str">
        <f>IF(T89="","",IFERROR(T89/$T$15*$W$15,""))</f>
        <v/>
      </c>
      <c r="X89" s="3" t="str">
        <f>IF(U89="","",IFERROR(U89/$U$15*$X$15,""))</f>
        <v/>
      </c>
      <c r="Y89" s="3" t="str">
        <f>IF(V89="","",IFERROR(V89/$V$15*$Y$15,""))</f>
        <v/>
      </c>
      <c r="Z89" s="3" t="str">
        <f>IF(COUNT(T89:V89)=0,"",SUM(W89:Y89))</f>
        <v/>
      </c>
      <c r="AA89" s="3" t="str">
        <f>IF(Z89="","",Z89*$AA$15)</f>
        <v/>
      </c>
      <c r="AB89" s="3" t="str">
        <f>IF(COUNT(F89:J89,N89:P89,T89:V89)=0,"",SUM(M89,S89,AA89))</f>
        <v/>
      </c>
      <c r="AC89" s="1" t="str">
        <f t="array" ref="AC89">IF(AB89="","",IFERROR(INDEX(HELPER!$D$8:$D$48,IFERROR(MATCH(AB89,HELPER!$B$8:$B$48,0),MATCH(AB89,HELPER!$B$8:$B$48,-1)+1)),""))</f>
        <v/>
      </c>
      <c r="AD89" t="str">
        <f t="array" ref="AD89">IF(AC89="","",IFERROR(INDEX(HELPER!$G$8:$G$48,MATCH(AC89,HELPER!$F$8:$F$48,-1)),""))</f>
        <v/>
      </c>
    </row>
    <row r="90" ht="15" customHeight="1">
      <c r="B90">
        <v>22</v>
      </c>
      <c r="C90" t="str">
        <f>IF('INPUT DATA'!N32="","",'INPUT DATA'!N32)</f>
        <v/>
      </c>
      <c r="K90" t="str">
        <f>IF(COUNT($F90:$J90)=0,"",SUM($F90:$J90))</f>
        <v/>
      </c>
      <c r="L90" s="3" t="str">
        <f>IF(COUNT(F90:J90)=0,"",IFERROR(K90/$K$15*$L$15,""))</f>
        <v/>
      </c>
      <c r="M90" s="3" t="str">
        <f>IF(L90="","",L90*$M$15)</f>
        <v/>
      </c>
      <c r="Q90" t="str">
        <f>IF(COUNT(N90:P90)=0,"",SUM(N90:P90))</f>
        <v/>
      </c>
      <c r="R90" s="3" t="str">
        <f>IF(COUNT(N90:P90)=0,"",IFERROR(Q90/$Q$15*$R$15,""))</f>
        <v/>
      </c>
      <c r="S90" s="3" t="str">
        <f>IF(R90="","",R90*$S$15)</f>
        <v/>
      </c>
      <c r="W90" s="3" t="str">
        <f>IF(T90="","",IFERROR(T90/$T$15*$W$15,""))</f>
        <v/>
      </c>
      <c r="X90" s="3" t="str">
        <f>IF(U90="","",IFERROR(U90/$U$15*$X$15,""))</f>
        <v/>
      </c>
      <c r="Y90" s="3" t="str">
        <f>IF(V90="","",IFERROR(V90/$V$15*$Y$15,""))</f>
        <v/>
      </c>
      <c r="Z90" s="3" t="str">
        <f>IF(COUNT(T90:V90)=0,"",SUM(W90:Y90))</f>
        <v/>
      </c>
      <c r="AA90" s="3" t="str">
        <f>IF(Z90="","",Z90*$AA$15)</f>
        <v/>
      </c>
      <c r="AB90" s="3" t="str">
        <f>IF(COUNT(F90:J90,N90:P90,T90:V90)=0,"",SUM(M90,S90,AA90))</f>
        <v/>
      </c>
      <c r="AC90" s="1" t="str">
        <f t="array" ref="AC90">IF(AB90="","",IFERROR(INDEX(HELPER!$D$8:$D$48,IFERROR(MATCH(AB90,HELPER!$B$8:$B$48,0),MATCH(AB90,HELPER!$B$8:$B$48,-1)+1)),""))</f>
        <v/>
      </c>
      <c r="AD90" t="str">
        <f t="array" ref="AD90">IF(AC90="","",IFERROR(INDEX(HELPER!$G$8:$G$48,MATCH(AC90,HELPER!$F$8:$F$48,-1)),""))</f>
        <v/>
      </c>
    </row>
    <row r="91" ht="15" customHeight="1">
      <c r="B91">
        <v>23</v>
      </c>
      <c r="C91" t="str">
        <f>IF('INPUT DATA'!N33="","",'INPUT DATA'!N33)</f>
        <v/>
      </c>
      <c r="K91" t="str">
        <f>IF(COUNT($F91:$J91)=0,"",SUM($F91:$J91))</f>
        <v/>
      </c>
      <c r="L91" s="3" t="str">
        <f>IF(COUNT(F91:J91)=0,"",IFERROR(K91/$K$15*$L$15,""))</f>
        <v/>
      </c>
      <c r="M91" s="3" t="str">
        <f>IF(L91="","",L91*$M$15)</f>
        <v/>
      </c>
      <c r="Q91" t="str">
        <f>IF(COUNT(N91:P91)=0,"",SUM(N91:P91))</f>
        <v/>
      </c>
      <c r="R91" s="3" t="str">
        <f>IF(COUNT(N91:P91)=0,"",IFERROR(Q91/$Q$15*$R$15,""))</f>
        <v/>
      </c>
      <c r="S91" s="3" t="str">
        <f>IF(R91="","",R91*$S$15)</f>
        <v/>
      </c>
      <c r="W91" s="3" t="str">
        <f>IF(T91="","",IFERROR(T91/$T$15*$W$15,""))</f>
        <v/>
      </c>
      <c r="X91" s="3" t="str">
        <f>IF(U91="","",IFERROR(U91/$U$15*$X$15,""))</f>
        <v/>
      </c>
      <c r="Y91" s="3" t="str">
        <f>IF(V91="","",IFERROR(V91/$V$15*$Y$15,""))</f>
        <v/>
      </c>
      <c r="Z91" s="3" t="str">
        <f>IF(COUNT(T91:V91)=0,"",SUM(W91:Y91))</f>
        <v/>
      </c>
      <c r="AA91" s="3" t="str">
        <f>IF(Z91="","",Z91*$AA$15)</f>
        <v/>
      </c>
      <c r="AB91" s="3" t="str">
        <f>IF(COUNT(F91:J91,N91:P91,T91:V91)=0,"",SUM(M91,S91,AA91))</f>
        <v/>
      </c>
      <c r="AC91" s="1" t="str">
        <f t="array" ref="AC91">IF(AB91="","",IFERROR(INDEX(HELPER!$D$8:$D$48,IFERROR(MATCH(AB91,HELPER!$B$8:$B$48,0),MATCH(AB91,HELPER!$B$8:$B$48,-1)+1)),""))</f>
        <v/>
      </c>
      <c r="AD91" t="str">
        <f t="array" ref="AD91">IF(AC91="","",IFERROR(INDEX(HELPER!$G$8:$G$48,MATCH(AC91,HELPER!$F$8:$F$48,-1)),""))</f>
        <v/>
      </c>
    </row>
    <row r="92" ht="15" customHeight="1">
      <c r="B92">
        <v>24</v>
      </c>
      <c r="C92" t="str">
        <f>IF('INPUT DATA'!N34="","",'INPUT DATA'!N34)</f>
        <v/>
      </c>
      <c r="K92" t="str">
        <f>IF(COUNT($F92:$J92)=0,"",SUM($F92:$J92))</f>
        <v/>
      </c>
      <c r="L92" s="3" t="str">
        <f>IF(COUNT(F92:J92)=0,"",IFERROR(K92/$K$15*$L$15,""))</f>
        <v/>
      </c>
      <c r="M92" s="3" t="str">
        <f>IF(L92="","",L92*$M$15)</f>
        <v/>
      </c>
      <c r="Q92" t="str">
        <f>IF(COUNT(N92:P92)=0,"",SUM(N92:P92))</f>
        <v/>
      </c>
      <c r="R92" s="3" t="str">
        <f>IF(COUNT(N92:P92)=0,"",IFERROR(Q92/$Q$15*$R$15,""))</f>
        <v/>
      </c>
      <c r="S92" s="3" t="str">
        <f>IF(R92="","",R92*$S$15)</f>
        <v/>
      </c>
      <c r="W92" s="3" t="str">
        <f>IF(T92="","",IFERROR(T92/$T$15*$W$15,""))</f>
        <v/>
      </c>
      <c r="X92" s="3" t="str">
        <f>IF(U92="","",IFERROR(U92/$U$15*$X$15,""))</f>
        <v/>
      </c>
      <c r="Y92" s="3" t="str">
        <f>IF(V92="","",IFERROR(V92/$V$15*$Y$15,""))</f>
        <v/>
      </c>
      <c r="Z92" s="3" t="str">
        <f>IF(COUNT(T92:V92)=0,"",SUM(W92:Y92))</f>
        <v/>
      </c>
      <c r="AA92" s="3" t="str">
        <f>IF(Z92="","",Z92*$AA$15)</f>
        <v/>
      </c>
      <c r="AB92" s="3" t="str">
        <f>IF(COUNT(F92:J92,N92:P92,T92:V92)=0,"",SUM(M92,S92,AA92))</f>
        <v/>
      </c>
      <c r="AC92" s="1" t="str">
        <f t="array" ref="AC92">IF(AB92="","",IFERROR(INDEX(HELPER!$D$8:$D$48,IFERROR(MATCH(AB92,HELPER!$B$8:$B$48,0),MATCH(AB92,HELPER!$B$8:$B$48,-1)+1)),""))</f>
        <v/>
      </c>
      <c r="AD92" t="str">
        <f t="array" ref="AD92">IF(AC92="","",IFERROR(INDEX(HELPER!$G$8:$G$48,MATCH(AC92,HELPER!$F$8:$F$48,-1)),""))</f>
        <v/>
      </c>
    </row>
    <row r="93" ht="15" customHeight="1">
      <c r="B93">
        <v>25</v>
      </c>
      <c r="C93" t="str">
        <f>IF('INPUT DATA'!N35="","",'INPUT DATA'!N35)</f>
        <v/>
      </c>
      <c r="K93" t="str">
        <f>IF(COUNT($F93:$J93)=0,"",SUM($F93:$J93))</f>
        <v/>
      </c>
      <c r="L93" s="3" t="str">
        <f>IF(COUNT(F93:J93)=0,"",IFERROR(K93/$K$15*$L$15,""))</f>
        <v/>
      </c>
      <c r="M93" s="3" t="str">
        <f>IF(L93="","",L93*$M$15)</f>
        <v/>
      </c>
      <c r="Q93" t="str">
        <f>IF(COUNT(N93:P93)=0,"",SUM(N93:P93))</f>
        <v/>
      </c>
      <c r="R93" s="3" t="str">
        <f>IF(COUNT(N93:P93)=0,"",IFERROR(Q93/$Q$15*$R$15,""))</f>
        <v/>
      </c>
      <c r="S93" s="3" t="str">
        <f>IF(R93="","",R93*$S$15)</f>
        <v/>
      </c>
      <c r="W93" s="3" t="str">
        <f>IF(T93="","",IFERROR(T93/$T$15*$W$15,""))</f>
        <v/>
      </c>
      <c r="X93" s="3" t="str">
        <f>IF(U93="","",IFERROR(U93/$U$15*$X$15,""))</f>
        <v/>
      </c>
      <c r="Y93" s="3" t="str">
        <f>IF(V93="","",IFERROR(V93/$V$15*$Y$15,""))</f>
        <v/>
      </c>
      <c r="Z93" s="3" t="str">
        <f>IF(COUNT(T93:V93)=0,"",SUM(W93:Y93))</f>
        <v/>
      </c>
      <c r="AA93" s="3" t="str">
        <f>IF(Z93="","",Z93*$AA$15)</f>
        <v/>
      </c>
      <c r="AB93" s="3" t="str">
        <f>IF(COUNT(F93:J93,N93:P93,T93:V93)=0,"",SUM(M93,S93,AA93))</f>
        <v/>
      </c>
      <c r="AC93" s="1" t="str">
        <f t="array" ref="AC93">IF(AB93="","",IFERROR(INDEX(HELPER!$D$8:$D$48,IFERROR(MATCH(AB93,HELPER!$B$8:$B$48,0),MATCH(AB93,HELPER!$B$8:$B$48,-1)+1)),""))</f>
        <v/>
      </c>
      <c r="AD93" t="str">
        <f t="array" ref="AD93">IF(AC93="","",IFERROR(INDEX(HELPER!$G$8:$G$48,MATCH(AC93,HELPER!$F$8:$F$48,-1)),""))</f>
        <v/>
      </c>
    </row>
    <row r="94" ht="15" customHeight="1">
      <c r="B94">
        <v>26</v>
      </c>
      <c r="C94" t="str">
        <f>IF('INPUT DATA'!N36="","",'INPUT DATA'!N36)</f>
        <v/>
      </c>
      <c r="K94" t="str">
        <f>IF(COUNT($F94:$J94)=0,"",SUM($F94:$J94))</f>
        <v/>
      </c>
      <c r="L94" s="3" t="str">
        <f>IF(COUNT(F94:J94)=0,"",IFERROR(K94/$K$15*$L$15,""))</f>
        <v/>
      </c>
      <c r="M94" s="3" t="str">
        <f>IF(L94="","",L94*$M$15)</f>
        <v/>
      </c>
      <c r="Q94" t="str">
        <f>IF(COUNT(N94:P94)=0,"",SUM(N94:P94))</f>
        <v/>
      </c>
      <c r="R94" s="3" t="str">
        <f>IF(COUNT(N94:P94)=0,"",IFERROR(Q94/$Q$15*$R$15,""))</f>
        <v/>
      </c>
      <c r="S94" s="3" t="str">
        <f>IF(R94="","",R94*$S$15)</f>
        <v/>
      </c>
      <c r="W94" s="3" t="str">
        <f>IF(T94="","",IFERROR(T94/$T$15*$W$15,""))</f>
        <v/>
      </c>
      <c r="X94" s="3" t="str">
        <f>IF(U94="","",IFERROR(U94/$U$15*$X$15,""))</f>
        <v/>
      </c>
      <c r="Y94" s="3" t="str">
        <f>IF(V94="","",IFERROR(V94/$V$15*$Y$15,""))</f>
        <v/>
      </c>
      <c r="Z94" s="3" t="str">
        <f>IF(COUNT(T94:V94)=0,"",SUM(W94:Y94))</f>
        <v/>
      </c>
      <c r="AA94" s="3" t="str">
        <f>IF(Z94="","",Z94*$AA$15)</f>
        <v/>
      </c>
      <c r="AB94" s="3" t="str">
        <f>IF(COUNT(F94:J94,N94:P94,T94:V94)=0,"",SUM(M94,S94,AA94))</f>
        <v/>
      </c>
      <c r="AC94" s="1" t="str">
        <f t="array" ref="AC94">IF(AB94="","",IFERROR(INDEX(HELPER!$D$8:$D$48,IFERROR(MATCH(AB94,HELPER!$B$8:$B$48,0),MATCH(AB94,HELPER!$B$8:$B$48,-1)+1)),""))</f>
        <v/>
      </c>
      <c r="AD94" t="str">
        <f t="array" ref="AD94">IF(AC94="","",IFERROR(INDEX(HELPER!$G$8:$G$48,MATCH(AC94,HELPER!$F$8:$F$48,-1)),""))</f>
        <v/>
      </c>
    </row>
    <row r="95" ht="15" customHeight="1">
      <c r="B95">
        <v>27</v>
      </c>
      <c r="C95" t="str">
        <f>IF('INPUT DATA'!N37="","",'INPUT DATA'!N37)</f>
        <v/>
      </c>
      <c r="K95" t="str">
        <f>IF(COUNT($F95:$J95)=0,"",SUM($F95:$J95))</f>
        <v/>
      </c>
      <c r="L95" s="3" t="str">
        <f>IF(COUNT(F95:J95)=0,"",IFERROR(K95/$K$15*$L$15,""))</f>
        <v/>
      </c>
      <c r="M95" s="3" t="str">
        <f>IF(L95="","",L95*$M$15)</f>
        <v/>
      </c>
      <c r="Q95" t="str">
        <f>IF(COUNT(N95:P95)=0,"",SUM(N95:P95))</f>
        <v/>
      </c>
      <c r="R95" s="3" t="str">
        <f>IF(COUNT(N95:P95)=0,"",IFERROR(Q95/$Q$15*$R$15,""))</f>
        <v/>
      </c>
      <c r="S95" s="3" t="str">
        <f>IF(R95="","",R95*$S$15)</f>
        <v/>
      </c>
      <c r="W95" s="3" t="str">
        <f>IF(T95="","",IFERROR(T95/$T$15*$W$15,""))</f>
        <v/>
      </c>
      <c r="X95" s="3" t="str">
        <f>IF(U95="","",IFERROR(U95/$U$15*$X$15,""))</f>
        <v/>
      </c>
      <c r="Y95" s="3" t="str">
        <f>IF(V95="","",IFERROR(V95/$V$15*$Y$15,""))</f>
        <v/>
      </c>
      <c r="Z95" s="3" t="str">
        <f>IF(COUNT(T95:V95)=0,"",SUM(W95:Y95))</f>
        <v/>
      </c>
      <c r="AA95" s="3" t="str">
        <f>IF(Z95="","",Z95*$AA$15)</f>
        <v/>
      </c>
      <c r="AB95" s="3" t="str">
        <f>IF(COUNT(F95:J95,N95:P95,T95:V95)=0,"",SUM(M95,S95,AA95))</f>
        <v/>
      </c>
      <c r="AC95" s="1" t="str">
        <f t="array" ref="AC95">IF(AB95="","",IFERROR(INDEX(HELPER!$D$8:$D$48,IFERROR(MATCH(AB95,HELPER!$B$8:$B$48,0),MATCH(AB95,HELPER!$B$8:$B$48,-1)+1)),""))</f>
        <v/>
      </c>
      <c r="AD95" t="str">
        <f t="array" ref="AD95">IF(AC95="","",IFERROR(INDEX(HELPER!$G$8:$G$48,MATCH(AC95,HELPER!$F$8:$F$48,-1)),""))</f>
        <v/>
      </c>
    </row>
    <row r="96" ht="15" customHeight="1">
      <c r="B96">
        <v>28</v>
      </c>
      <c r="C96" t="str">
        <f>IF('INPUT DATA'!N38="","",'INPUT DATA'!N38)</f>
        <v/>
      </c>
      <c r="K96" t="str">
        <f>IF(COUNT($F96:$J96)=0,"",SUM($F96:$J96))</f>
        <v/>
      </c>
      <c r="L96" s="3" t="str">
        <f>IF(COUNT(F96:J96)=0,"",IFERROR(K96/$K$15*$L$15,""))</f>
        <v/>
      </c>
      <c r="M96" s="3" t="str">
        <f>IF(L96="","",L96*$M$15)</f>
        <v/>
      </c>
      <c r="Q96" t="str">
        <f>IF(COUNT(N96:P96)=0,"",SUM(N96:P96))</f>
        <v/>
      </c>
      <c r="R96" s="3" t="str">
        <f>IF(COUNT(N96:P96)=0,"",IFERROR(Q96/$Q$15*$R$15,""))</f>
        <v/>
      </c>
      <c r="S96" s="3" t="str">
        <f>IF(R96="","",R96*$S$15)</f>
        <v/>
      </c>
      <c r="W96" s="3" t="str">
        <f>IF(T96="","",IFERROR(T96/$T$15*$W$15,""))</f>
        <v/>
      </c>
      <c r="X96" s="3" t="str">
        <f>IF(U96="","",IFERROR(U96/$U$15*$X$15,""))</f>
        <v/>
      </c>
      <c r="Y96" s="3" t="str">
        <f>IF(V96="","",IFERROR(V96/$V$15*$Y$15,""))</f>
        <v/>
      </c>
      <c r="Z96" s="3" t="str">
        <f>IF(COUNT(T96:V96)=0,"",SUM(W96:Y96))</f>
        <v/>
      </c>
      <c r="AA96" s="3" t="str">
        <f>IF(Z96="","",Z96*$AA$15)</f>
        <v/>
      </c>
      <c r="AB96" s="3" t="str">
        <f>IF(COUNT(F96:J96,N96:P96,T96:V96)=0,"",SUM(M96,S96,AA96))</f>
        <v/>
      </c>
      <c r="AC96" s="1" t="str">
        <f t="array" ref="AC96">IF(AB96="","",IFERROR(INDEX(HELPER!$D$8:$D$48,IFERROR(MATCH(AB96,HELPER!$B$8:$B$48,0),MATCH(AB96,HELPER!$B$8:$B$48,-1)+1)),""))</f>
        <v/>
      </c>
      <c r="AD96" t="str">
        <f t="array" ref="AD96">IF(AC96="","",IFERROR(INDEX(HELPER!$G$8:$G$48,MATCH(AC96,HELPER!$F$8:$F$48,-1)),""))</f>
        <v/>
      </c>
    </row>
    <row r="97" ht="15" customHeight="1">
      <c r="B97">
        <v>29</v>
      </c>
      <c r="C97" t="str">
        <f>IF('INPUT DATA'!N39="","",'INPUT DATA'!N39)</f>
        <v/>
      </c>
      <c r="K97" t="str">
        <f>IF(COUNT($F97:$J97)=0,"",SUM($F97:$J97))</f>
        <v/>
      </c>
      <c r="L97" s="3" t="str">
        <f>IF(COUNT(F97:J97)=0,"",IFERROR(K97/$K$15*$L$15,""))</f>
        <v/>
      </c>
      <c r="M97" s="3" t="str">
        <f>IF(L97="","",L97*$M$15)</f>
        <v/>
      </c>
      <c r="Q97" t="str">
        <f>IF(COUNT(N97:P97)=0,"",SUM(N97:P97))</f>
        <v/>
      </c>
      <c r="R97" s="3" t="str">
        <f>IF(COUNT(N97:P97)=0,"",IFERROR(Q97/$Q$15*$R$15,""))</f>
        <v/>
      </c>
      <c r="S97" s="3" t="str">
        <f>IF(R97="","",R97*$S$15)</f>
        <v/>
      </c>
      <c r="W97" s="3" t="str">
        <f>IF(T97="","",IFERROR(T97/$T$15*$W$15,""))</f>
        <v/>
      </c>
      <c r="X97" s="3" t="str">
        <f>IF(U97="","",IFERROR(U97/$U$15*$X$15,""))</f>
        <v/>
      </c>
      <c r="Y97" s="3" t="str">
        <f>IF(V97="","",IFERROR(V97/$V$15*$Y$15,""))</f>
        <v/>
      </c>
      <c r="Z97" s="3" t="str">
        <f>IF(COUNT(T97:V97)=0,"",SUM(W97:Y97))</f>
        <v/>
      </c>
      <c r="AA97" s="3" t="str">
        <f>IF(Z97="","",Z97*$AA$15)</f>
        <v/>
      </c>
      <c r="AB97" s="3" t="str">
        <f>IF(COUNT(F97:J97,N97:P97,T97:V97)=0,"",SUM(M97,S97,AA97))</f>
        <v/>
      </c>
      <c r="AC97" s="1" t="str">
        <f t="array" ref="AC97">IF(AB97="","",IFERROR(INDEX(HELPER!$D$8:$D$48,IFERROR(MATCH(AB97,HELPER!$B$8:$B$48,0),MATCH(AB97,HELPER!$B$8:$B$48,-1)+1)),""))</f>
        <v/>
      </c>
      <c r="AD97" t="str">
        <f t="array" ref="AD97">IF(AC97="","",IFERROR(INDEX(HELPER!$G$8:$G$48,MATCH(AC97,HELPER!$F$8:$F$48,-1)),""))</f>
        <v/>
      </c>
    </row>
    <row r="98" ht="15" customHeight="1">
      <c r="B98">
        <v>30</v>
      </c>
      <c r="C98" t="str">
        <f>IF('INPUT DATA'!N40="","",'INPUT DATA'!N40)</f>
        <v/>
      </c>
      <c r="K98" t="str">
        <f>IF(COUNT($F98:$J98)=0,"",SUM($F98:$J98))</f>
        <v/>
      </c>
      <c r="L98" s="3" t="str">
        <f>IF(COUNT(F98:J98)=0,"",IFERROR(K98/$K$15*$L$15,""))</f>
        <v/>
      </c>
      <c r="M98" s="3" t="str">
        <f>IF(L98="","",L98*$M$15)</f>
        <v/>
      </c>
      <c r="Q98" t="str">
        <f>IF(COUNT(N98:P98)=0,"",SUM(N98:P98))</f>
        <v/>
      </c>
      <c r="R98" s="3" t="str">
        <f>IF(COUNT(N98:P98)=0,"",IFERROR(Q98/$Q$15*$R$15,""))</f>
        <v/>
      </c>
      <c r="S98" s="3" t="str">
        <f>IF(R98="","",R98*$S$15)</f>
        <v/>
      </c>
      <c r="W98" s="3" t="str">
        <f>IF(T98="","",IFERROR(T98/$T$15*$W$15,""))</f>
        <v/>
      </c>
      <c r="X98" s="3" t="str">
        <f>IF(U98="","",IFERROR(U98/$U$15*$X$15,""))</f>
        <v/>
      </c>
      <c r="Y98" s="3" t="str">
        <f>IF(V98="","",IFERROR(V98/$V$15*$Y$15,""))</f>
        <v/>
      </c>
      <c r="Z98" s="3" t="str">
        <f>IF(COUNT(T98:V98)=0,"",SUM(W98:Y98))</f>
        <v/>
      </c>
      <c r="AA98" s="3" t="str">
        <f>IF(Z98="","",Z98*$AA$15)</f>
        <v/>
      </c>
      <c r="AB98" s="3" t="str">
        <f>IF(COUNT(F98:J98,N98:P98,T98:V98)=0,"",SUM(M98,S98,AA98))</f>
        <v/>
      </c>
      <c r="AC98" s="1" t="str">
        <f t="array" ref="AC98">IF(AB98="","",IFERROR(INDEX(HELPER!$D$8:$D$48,IFERROR(MATCH(AB98,HELPER!$B$8:$B$48,0),MATCH(AB98,HELPER!$B$8:$B$48,-1)+1)),""))</f>
        <v/>
      </c>
      <c r="AD98" t="str">
        <f t="array" ref="AD98">IF(AC98="","",IFERROR(INDEX(HELPER!$G$8:$G$48,MATCH(AC98,HELPER!$F$8:$F$48,-1)),""))</f>
        <v/>
      </c>
    </row>
    <row r="99" ht="15" customHeight="1">
      <c r="B99">
        <v>31</v>
      </c>
      <c r="C99" t="str">
        <f>IF('INPUT DATA'!N41="","",'INPUT DATA'!N41)</f>
        <v/>
      </c>
      <c r="K99" t="str">
        <f>IF(COUNT($F99:$J99)=0,"",SUM($F99:$J99))</f>
        <v/>
      </c>
      <c r="L99" s="3" t="str">
        <f>IF(COUNT(F99:J99)=0,"",IFERROR(K99/$K$15*$L$15,""))</f>
        <v/>
      </c>
      <c r="M99" s="3" t="str">
        <f>IF(L99="","",L99*$M$15)</f>
        <v/>
      </c>
      <c r="Q99" t="str">
        <f>IF(COUNT(N99:P99)=0,"",SUM(N99:P99))</f>
        <v/>
      </c>
      <c r="R99" s="3" t="str">
        <f>IF(COUNT(N99:P99)=0,"",IFERROR(Q99/$Q$15*$R$15,""))</f>
        <v/>
      </c>
      <c r="S99" s="3" t="str">
        <f>IF(R99="","",R99*$S$15)</f>
        <v/>
      </c>
      <c r="W99" s="3" t="str">
        <f>IF(T99="","",IFERROR(T99/$T$15*$W$15,""))</f>
        <v/>
      </c>
      <c r="X99" s="3" t="str">
        <f>IF(U99="","",IFERROR(U99/$U$15*$X$15,""))</f>
        <v/>
      </c>
      <c r="Y99" s="3" t="str">
        <f>IF(V99="","",IFERROR(V99/$V$15*$Y$15,""))</f>
        <v/>
      </c>
      <c r="Z99" s="3" t="str">
        <f>IF(COUNT(T99:V99)=0,"",SUM(W99:Y99))</f>
        <v/>
      </c>
      <c r="AA99" s="3" t="str">
        <f>IF(Z99="","",Z99*$AA$15)</f>
        <v/>
      </c>
      <c r="AB99" s="3" t="str">
        <f>IF(COUNT(F99:J99,N99:P99,T99:V99)=0,"",SUM(M99,S99,AA99))</f>
        <v/>
      </c>
      <c r="AC99" s="1" t="str">
        <f t="array" ref="AC99">IF(AB99="","",IFERROR(INDEX(HELPER!$D$8:$D$48,IFERROR(MATCH(AB99,HELPER!$B$8:$B$48,0),MATCH(AB99,HELPER!$B$8:$B$48,-1)+1)),""))</f>
        <v/>
      </c>
      <c r="AD99" t="str">
        <f t="array" ref="AD99">IF(AC99="","",IFERROR(INDEX(HELPER!$G$8:$G$48,MATCH(AC99,HELPER!$F$8:$F$48,-1)),""))</f>
        <v/>
      </c>
    </row>
    <row r="100" ht="15" customHeight="1">
      <c r="B100">
        <v>32</v>
      </c>
      <c r="C100" t="str">
        <f>IF('INPUT DATA'!N42="","",'INPUT DATA'!N42)</f>
        <v/>
      </c>
      <c r="K100" t="str">
        <f>IF(COUNT($F100:$J100)=0,"",SUM($F100:$J100))</f>
        <v/>
      </c>
      <c r="L100" s="3" t="str">
        <f>IF(COUNT(F100:J100)=0,"",IFERROR(K100/$K$15*$L$15,""))</f>
        <v/>
      </c>
      <c r="M100" s="3" t="str">
        <f>IF(L100="","",L100*$M$15)</f>
        <v/>
      </c>
      <c r="Q100" t="str">
        <f>IF(COUNT(N100:P100)=0,"",SUM(N100:P100))</f>
        <v/>
      </c>
      <c r="R100" s="3" t="str">
        <f>IF(COUNT(N100:P100)=0,"",IFERROR(Q100/$Q$15*$R$15,""))</f>
        <v/>
      </c>
      <c r="S100" s="3" t="str">
        <f>IF(R100="","",R100*$S$15)</f>
        <v/>
      </c>
      <c r="W100" s="3" t="str">
        <f>IF(T100="","",IFERROR(T100/$T$15*$W$15,""))</f>
        <v/>
      </c>
      <c r="X100" s="3" t="str">
        <f>IF(U100="","",IFERROR(U100/$U$15*$X$15,""))</f>
        <v/>
      </c>
      <c r="Y100" s="3" t="str">
        <f>IF(V100="","",IFERROR(V100/$V$15*$Y$15,""))</f>
        <v/>
      </c>
      <c r="Z100" s="3" t="str">
        <f>IF(COUNT(T100:V100)=0,"",SUM(W100:Y100))</f>
        <v/>
      </c>
      <c r="AA100" s="3" t="str">
        <f>IF(Z100="","",Z100*$AA$15)</f>
        <v/>
      </c>
      <c r="AB100" s="3" t="str">
        <f>IF(COUNT(F100:J100,N100:P100,T100:V100)=0,"",SUM(M100,S100,AA100))</f>
        <v/>
      </c>
      <c r="AC100" s="1" t="str">
        <f t="array" ref="AC100">IF(AB100="","",IFERROR(INDEX(HELPER!$D$8:$D$48,IFERROR(MATCH(AB100,HELPER!$B$8:$B$48,0),MATCH(AB100,HELPER!$B$8:$B$48,-1)+1)),""))</f>
        <v/>
      </c>
      <c r="AD100" t="str">
        <f t="array" ref="AD100">IF(AC100="","",IFERROR(INDEX(HELPER!$G$8:$G$48,MATCH(AC100,HELPER!$F$8:$F$48,-1)),""))</f>
        <v/>
      </c>
    </row>
    <row r="101" ht="15" customHeight="1">
      <c r="B101">
        <v>33</v>
      </c>
      <c r="C101" t="str">
        <f>IF('INPUT DATA'!N43="","",'INPUT DATA'!N43)</f>
        <v/>
      </c>
      <c r="K101" t="str">
        <f>IF(COUNT($F101:$J101)=0,"",SUM($F101:$J101))</f>
        <v/>
      </c>
      <c r="L101" s="3" t="str">
        <f>IF(COUNT(F101:J101)=0,"",IFERROR(K101/$K$15*$L$15,""))</f>
        <v/>
      </c>
      <c r="M101" s="3" t="str">
        <f>IF(L101="","",L101*$M$15)</f>
        <v/>
      </c>
      <c r="Q101" t="str">
        <f>IF(COUNT(N101:P101)=0,"",SUM(N101:P101))</f>
        <v/>
      </c>
      <c r="R101" s="3" t="str">
        <f>IF(COUNT(N101:P101)=0,"",IFERROR(Q101/$Q$15*$R$15,""))</f>
        <v/>
      </c>
      <c r="S101" s="3" t="str">
        <f>IF(R101="","",R101*$S$15)</f>
        <v/>
      </c>
      <c r="W101" s="3" t="str">
        <f>IF(T101="","",IFERROR(T101/$T$15*$W$15,""))</f>
        <v/>
      </c>
      <c r="X101" s="3" t="str">
        <f>IF(U101="","",IFERROR(U101/$U$15*$X$15,""))</f>
        <v/>
      </c>
      <c r="Y101" s="3" t="str">
        <f>IF(V101="","",IFERROR(V101/$V$15*$Y$15,""))</f>
        <v/>
      </c>
      <c r="Z101" s="3" t="str">
        <f>IF(COUNT(T101:V101)=0,"",SUM(W101:Y101))</f>
        <v/>
      </c>
      <c r="AA101" s="3" t="str">
        <f>IF(Z101="","",Z101*$AA$15)</f>
        <v/>
      </c>
      <c r="AB101" s="3" t="str">
        <f>IF(COUNT(F101:J101,N101:P101,T101:V101)=0,"",SUM(M101,S101,AA101))</f>
        <v/>
      </c>
      <c r="AC101" s="1" t="str">
        <f t="array" ref="AC101">IF(AB101="","",IFERROR(INDEX(HELPER!$D$8:$D$48,IFERROR(MATCH(AB101,HELPER!$B$8:$B$48,0),MATCH(AB101,HELPER!$B$8:$B$48,-1)+1)),""))</f>
        <v/>
      </c>
      <c r="AD101" t="str">
        <f t="array" ref="AD101">IF(AC101="","",IFERROR(INDEX(HELPER!$G$8:$G$48,MATCH(AC101,HELPER!$F$8:$F$48,-1)),""))</f>
        <v/>
      </c>
    </row>
    <row r="102" ht="15" customHeight="1">
      <c r="B102">
        <v>34</v>
      </c>
      <c r="C102" t="str">
        <f>IF('INPUT DATA'!N44="","",'INPUT DATA'!N44)</f>
        <v/>
      </c>
      <c r="K102" t="str">
        <f>IF(COUNT($F102:$J102)=0,"",SUM($F102:$J102))</f>
        <v/>
      </c>
      <c r="L102" s="3" t="str">
        <f>IF(COUNT(F102:J102)=0,"",IFERROR(K102/$K$15*$L$15,""))</f>
        <v/>
      </c>
      <c r="M102" s="3" t="str">
        <f>IF(L102="","",L102*$M$15)</f>
        <v/>
      </c>
      <c r="Q102" t="str">
        <f>IF(COUNT(N102:P102)=0,"",SUM(N102:P102))</f>
        <v/>
      </c>
      <c r="R102" s="3" t="str">
        <f>IF(COUNT(N102:P102)=0,"",IFERROR(Q102/$Q$15*$R$15,""))</f>
        <v/>
      </c>
      <c r="S102" s="3" t="str">
        <f>IF(R102="","",R102*$S$15)</f>
        <v/>
      </c>
      <c r="W102" s="3" t="str">
        <f>IF(T102="","",IFERROR(T102/$T$15*$W$15,""))</f>
        <v/>
      </c>
      <c r="X102" s="3" t="str">
        <f>IF(U102="","",IFERROR(U102/$U$15*$X$15,""))</f>
        <v/>
      </c>
      <c r="Y102" s="3" t="str">
        <f>IF(V102="","",IFERROR(V102/$V$15*$Y$15,""))</f>
        <v/>
      </c>
      <c r="Z102" s="3" t="str">
        <f>IF(COUNT(T102:V102)=0,"",SUM(W102:Y102))</f>
        <v/>
      </c>
      <c r="AA102" s="3" t="str">
        <f>IF(Z102="","",Z102*$AA$15)</f>
        <v/>
      </c>
      <c r="AB102" s="3" t="str">
        <f>IF(COUNT(F102:J102,N102:P102,T102:V102)=0,"",SUM(M102,S102,AA102))</f>
        <v/>
      </c>
      <c r="AC102" s="1" t="str">
        <f t="array" ref="AC102">IF(AB102="","",IFERROR(INDEX(HELPER!$D$8:$D$48,IFERROR(MATCH(AB102,HELPER!$B$8:$B$48,0),MATCH(AB102,HELPER!$B$8:$B$48,-1)+1)),""))</f>
        <v/>
      </c>
      <c r="AD102" t="str">
        <f t="array" ref="AD102">IF(AC102="","",IFERROR(INDEX(HELPER!$G$8:$G$48,MATCH(AC102,HELPER!$F$8:$F$48,-1)),""))</f>
        <v/>
      </c>
    </row>
    <row r="103" ht="15" customHeight="1">
      <c r="B103">
        <v>35</v>
      </c>
      <c r="C103" t="str">
        <f>IF('INPUT DATA'!N45="","",'INPUT DATA'!N45)</f>
        <v/>
      </c>
      <c r="K103" t="str">
        <f>IF(COUNT($F103:$J103)=0,"",SUM($F103:$J103))</f>
        <v/>
      </c>
      <c r="L103" s="3" t="str">
        <f>IF(COUNT(F103:J103)=0,"",IFERROR(K103/$K$15*$L$15,""))</f>
        <v/>
      </c>
      <c r="M103" s="3" t="str">
        <f>IF(L103="","",L103*$M$15)</f>
        <v/>
      </c>
      <c r="Q103" t="str">
        <f>IF(COUNT(N103:P103)=0,"",SUM(N103:P103))</f>
        <v/>
      </c>
      <c r="R103" s="3" t="str">
        <f>IF(COUNT(N103:P103)=0,"",IFERROR(Q103/$Q$15*$R$15,""))</f>
        <v/>
      </c>
      <c r="S103" s="3" t="str">
        <f>IF(R103="","",R103*$S$15)</f>
        <v/>
      </c>
      <c r="W103" s="3" t="str">
        <f>IF(T103="","",IFERROR(T103/$T$15*$W$15,""))</f>
        <v/>
      </c>
      <c r="X103" s="3" t="str">
        <f>IF(U103="","",IFERROR(U103/$U$15*$X$15,""))</f>
        <v/>
      </c>
      <c r="Y103" s="3" t="str">
        <f>IF(V103="","",IFERROR(V103/$V$15*$Y$15,""))</f>
        <v/>
      </c>
      <c r="Z103" s="3" t="str">
        <f>IF(COUNT(T103:V103)=0,"",SUM(W103:Y103))</f>
        <v/>
      </c>
      <c r="AA103" s="3" t="str">
        <f>IF(Z103="","",Z103*$AA$15)</f>
        <v/>
      </c>
      <c r="AB103" s="3" t="str">
        <f>IF(COUNT(F103:J103,N103:P103,T103:V103)=0,"",SUM(M103,S103,AA103))</f>
        <v/>
      </c>
      <c r="AC103" s="1" t="str">
        <f t="array" ref="AC103">IF(AB103="","",IFERROR(INDEX(HELPER!$D$8:$D$48,IFERROR(MATCH(AB103,HELPER!$B$8:$B$48,0),MATCH(AB103,HELPER!$B$8:$B$48,-1)+1)),""))</f>
        <v/>
      </c>
      <c r="AD103" t="str">
        <f t="array" ref="AD103">IF(AC103="","",IFERROR(INDEX(HELPER!$G$8:$G$48,MATCH(AC103,HELPER!$F$8:$F$48,-1)),""))</f>
        <v/>
      </c>
    </row>
    <row r="104" ht="15" customHeight="1">
      <c r="B104">
        <v>36</v>
      </c>
      <c r="C104" t="str">
        <f>IF('INPUT DATA'!N46="","",'INPUT DATA'!N46)</f>
        <v/>
      </c>
      <c r="K104" t="str">
        <f>IF(COUNT($F104:$J104)=0,"",SUM($F104:$J104))</f>
        <v/>
      </c>
      <c r="L104" s="3" t="str">
        <f>IF(COUNT(F104:J104)=0,"",IFERROR(K104/$K$15*$L$15,""))</f>
        <v/>
      </c>
      <c r="M104" s="3" t="str">
        <f>IF(L104="","",L104*$M$15)</f>
        <v/>
      </c>
      <c r="Q104" t="str">
        <f>IF(COUNT(N104:P104)=0,"",SUM(N104:P104))</f>
        <v/>
      </c>
      <c r="R104" s="3" t="str">
        <f>IF(COUNT(N104:P104)=0,"",IFERROR(Q104/$Q$15*$R$15,""))</f>
        <v/>
      </c>
      <c r="S104" s="3" t="str">
        <f>IF(R104="","",R104*$S$15)</f>
        <v/>
      </c>
      <c r="W104" s="3" t="str">
        <f>IF(T104="","",IFERROR(T104/$T$15*$W$15,""))</f>
        <v/>
      </c>
      <c r="X104" s="3" t="str">
        <f>IF(U104="","",IFERROR(U104/$U$15*$X$15,""))</f>
        <v/>
      </c>
      <c r="Y104" s="3" t="str">
        <f>IF(V104="","",IFERROR(V104/$V$15*$Y$15,""))</f>
        <v/>
      </c>
      <c r="Z104" s="3" t="str">
        <f>IF(COUNT(T104:V104)=0,"",SUM(W104:Y104))</f>
        <v/>
      </c>
      <c r="AA104" s="3" t="str">
        <f>IF(Z104="","",Z104*$AA$15)</f>
        <v/>
      </c>
      <c r="AB104" s="3" t="str">
        <f>IF(COUNT(F104:J104,N104:P104,T104:V104)=0,"",SUM(M104,S104,AA104))</f>
        <v/>
      </c>
      <c r="AC104" s="1" t="str">
        <f t="array" ref="AC104">IF(AB104="","",IFERROR(INDEX(HELPER!$D$8:$D$48,IFERROR(MATCH(AB104,HELPER!$B$8:$B$48,0),MATCH(AB104,HELPER!$B$8:$B$48,-1)+1)),""))</f>
        <v/>
      </c>
      <c r="AD104" t="str">
        <f t="array" ref="AD104">IF(AC104="","",IFERROR(INDEX(HELPER!$G$8:$G$48,MATCH(AC104,HELPER!$F$8:$F$48,-1)),""))</f>
        <v/>
      </c>
    </row>
    <row r="105" ht="15" customHeight="1">
      <c r="B105">
        <v>37</v>
      </c>
      <c r="C105" t="str">
        <f>IF('INPUT DATA'!N47="","",'INPUT DATA'!N47)</f>
        <v/>
      </c>
      <c r="K105" t="str">
        <f>IF(COUNT($F105:$J105)=0,"",SUM($F105:$J105))</f>
        <v/>
      </c>
      <c r="L105" s="3" t="str">
        <f>IF(COUNT(F105:J105)=0,"",IFERROR(K105/$K$15*$L$15,""))</f>
        <v/>
      </c>
      <c r="M105" s="3" t="str">
        <f>IF(L105="","",L105*$M$15)</f>
        <v/>
      </c>
      <c r="Q105" t="str">
        <f>IF(COUNT(N105:P105)=0,"",SUM(N105:P105))</f>
        <v/>
      </c>
      <c r="R105" s="3" t="str">
        <f>IF(COUNT(N105:P105)=0,"",IFERROR(Q105/$Q$15*$R$15,""))</f>
        <v/>
      </c>
      <c r="S105" s="3" t="str">
        <f>IF(R105="","",R105*$S$15)</f>
        <v/>
      </c>
      <c r="W105" s="3" t="str">
        <f>IF(T105="","",IFERROR(T105/$T$15*$W$15,""))</f>
        <v/>
      </c>
      <c r="X105" s="3" t="str">
        <f>IF(U105="","",IFERROR(U105/$U$15*$X$15,""))</f>
        <v/>
      </c>
      <c r="Y105" s="3" t="str">
        <f>IF(V105="","",IFERROR(V105/$V$15*$Y$15,""))</f>
        <v/>
      </c>
      <c r="Z105" s="3" t="str">
        <f>IF(COUNT(T105:V105)=0,"",SUM(W105:Y105))</f>
        <v/>
      </c>
      <c r="AA105" s="3" t="str">
        <f>IF(Z105="","",Z105*$AA$15)</f>
        <v/>
      </c>
      <c r="AB105" s="3" t="str">
        <f>IF(COUNT(F105:J105,N105:P105,T105:V105)=0,"",SUM(M105,S105,AA105))</f>
        <v/>
      </c>
      <c r="AC105" s="1" t="str">
        <f t="array" ref="AC105">IF(AB105="","",IFERROR(INDEX(HELPER!$D$8:$D$48,IFERROR(MATCH(AB105,HELPER!$B$8:$B$48,0),MATCH(AB105,HELPER!$B$8:$B$48,-1)+1)),""))</f>
        <v/>
      </c>
      <c r="AD105" t="str">
        <f t="array" ref="AD105">IF(AC105="","",IFERROR(INDEX(HELPER!$G$8:$G$48,MATCH(AC105,HELPER!$F$8:$F$48,-1)),""))</f>
        <v/>
      </c>
    </row>
    <row r="106" ht="15" customHeight="1">
      <c r="B106">
        <v>38</v>
      </c>
      <c r="C106" t="str">
        <f>IF('INPUT DATA'!N48="","",'INPUT DATA'!N48)</f>
        <v/>
      </c>
      <c r="K106" t="str">
        <f>IF(COUNT($F106:$J106)=0,"",SUM($F106:$J106))</f>
        <v/>
      </c>
      <c r="L106" s="3" t="str">
        <f>IF(COUNT(F106:J106)=0,"",IFERROR(K106/$K$15*$L$15,""))</f>
        <v/>
      </c>
      <c r="M106" s="3" t="str">
        <f>IF(L106="","",L106*$M$15)</f>
        <v/>
      </c>
      <c r="Q106" t="str">
        <f>IF(COUNT(N106:P106)=0,"",SUM(N106:P106))</f>
        <v/>
      </c>
      <c r="R106" s="3" t="str">
        <f>IF(COUNT(N106:P106)=0,"",IFERROR(Q106/$Q$15*$R$15,""))</f>
        <v/>
      </c>
      <c r="S106" s="3" t="str">
        <f>IF(R106="","",R106*$S$15)</f>
        <v/>
      </c>
      <c r="W106" s="3" t="str">
        <f>IF(T106="","",IFERROR(T106/$T$15*$W$15,""))</f>
        <v/>
      </c>
      <c r="X106" s="3" t="str">
        <f>IF(U106="","",IFERROR(U106/$U$15*$X$15,""))</f>
        <v/>
      </c>
      <c r="Y106" s="3" t="str">
        <f>IF(V106="","",IFERROR(V106/$V$15*$Y$15,""))</f>
        <v/>
      </c>
      <c r="Z106" s="3" t="str">
        <f>IF(COUNT(T106:V106)=0,"",SUM(W106:Y106))</f>
        <v/>
      </c>
      <c r="AA106" s="3" t="str">
        <f>IF(Z106="","",Z106*$AA$15)</f>
        <v/>
      </c>
      <c r="AB106" s="3" t="str">
        <f>IF(COUNT(F106:J106,N106:P106,T106:V106)=0,"",SUM(M106,S106,AA106))</f>
        <v/>
      </c>
      <c r="AC106" s="1" t="str">
        <f t="array" ref="AC106">IF(AB106="","",IFERROR(INDEX(HELPER!$D$8:$D$48,IFERROR(MATCH(AB106,HELPER!$B$8:$B$48,0),MATCH(AB106,HELPER!$B$8:$B$48,-1)+1)),""))</f>
        <v/>
      </c>
      <c r="AD106" t="str">
        <f t="array" ref="AD106">IF(AC106="","",IFERROR(INDEX(HELPER!$G$8:$G$48,MATCH(AC106,HELPER!$F$8:$F$48,-1)),""))</f>
        <v/>
      </c>
    </row>
    <row r="107" ht="15" customHeight="1">
      <c r="B107">
        <v>39</v>
      </c>
      <c r="C107" t="str">
        <f>IF('INPUT DATA'!N49="","",'INPUT DATA'!N49)</f>
        <v/>
      </c>
      <c r="K107" t="str">
        <f>IF(COUNT($F107:$J107)=0,"",SUM($F107:$J107))</f>
        <v/>
      </c>
      <c r="L107" s="3" t="str">
        <f>IF(COUNT(F107:J107)=0,"",IFERROR(K107/$K$15*$L$15,""))</f>
        <v/>
      </c>
      <c r="M107" s="3" t="str">
        <f>IF(L107="","",L107*$M$15)</f>
        <v/>
      </c>
      <c r="Q107" t="str">
        <f>IF(COUNT(N107:P107)=0,"",SUM(N107:P107))</f>
        <v/>
      </c>
      <c r="R107" s="3" t="str">
        <f>IF(COUNT(N107:P107)=0,"",IFERROR(Q107/$Q$15*$R$15,""))</f>
        <v/>
      </c>
      <c r="S107" s="3" t="str">
        <f>IF(R107="","",R107*$S$15)</f>
        <v/>
      </c>
      <c r="W107" s="3" t="str">
        <f>IF(T107="","",IFERROR(T107/$T$15*$W$15,""))</f>
        <v/>
      </c>
      <c r="X107" s="3" t="str">
        <f>IF(U107="","",IFERROR(U107/$U$15*$X$15,""))</f>
        <v/>
      </c>
      <c r="Y107" s="3" t="str">
        <f>IF(V107="","",IFERROR(V107/$V$15*$Y$15,""))</f>
        <v/>
      </c>
      <c r="Z107" s="3" t="str">
        <f>IF(COUNT(T107:V107)=0,"",SUM(W107:Y107))</f>
        <v/>
      </c>
      <c r="AA107" s="3" t="str">
        <f>IF(Z107="","",Z107*$AA$15)</f>
        <v/>
      </c>
      <c r="AB107" s="3" t="str">
        <f>IF(COUNT(F107:J107,N107:P107,T107:V107)=0,"",SUM(M107,S107,AA107))</f>
        <v/>
      </c>
      <c r="AC107" s="1" t="str">
        <f t="array" ref="AC107">IF(AB107="","",IFERROR(INDEX(HELPER!$D$8:$D$48,IFERROR(MATCH(AB107,HELPER!$B$8:$B$48,0),MATCH(AB107,HELPER!$B$8:$B$48,-1)+1)),""))</f>
        <v/>
      </c>
      <c r="AD107" t="str">
        <f t="array" ref="AD107">IF(AC107="","",IFERROR(INDEX(HELPER!$G$8:$G$48,MATCH(AC107,HELPER!$F$8:$F$48,-1)),""))</f>
        <v/>
      </c>
    </row>
    <row r="108" ht="15" customHeight="1">
      <c r="B108">
        <v>40</v>
      </c>
      <c r="C108" t="str">
        <f>IF('INPUT DATA'!N50="","",'INPUT DATA'!N50)</f>
        <v/>
      </c>
      <c r="K108" t="str">
        <f>IF(COUNT($F108:$J108)=0,"",SUM($F108:$J108))</f>
        <v/>
      </c>
      <c r="L108" s="3" t="str">
        <f>IF(COUNT(F108:J108)=0,"",IFERROR(K108/$K$15*$L$15,""))</f>
        <v/>
      </c>
      <c r="M108" s="3" t="str">
        <f>IF(L108="","",L108*$M$15)</f>
        <v/>
      </c>
      <c r="Q108" t="str">
        <f>IF(COUNT(N108:P108)=0,"",SUM(N108:P108))</f>
        <v/>
      </c>
      <c r="R108" s="3" t="str">
        <f>IF(COUNT(N108:P108)=0,"",IFERROR(Q108/$Q$15*$R$15,""))</f>
        <v/>
      </c>
      <c r="S108" s="3" t="str">
        <f>IF(R108="","",R108*$S$15)</f>
        <v/>
      </c>
      <c r="W108" s="3" t="str">
        <f>IF(T108="","",IFERROR(T108/$T$15*$W$15,""))</f>
        <v/>
      </c>
      <c r="X108" s="3" t="str">
        <f>IF(U108="","",IFERROR(U108/$U$15*$X$15,""))</f>
        <v/>
      </c>
      <c r="Y108" s="3" t="str">
        <f>IF(V108="","",IFERROR(V108/$V$15*$Y$15,""))</f>
        <v/>
      </c>
      <c r="Z108" s="3" t="str">
        <f>IF(COUNT(T108:V108)=0,"",SUM(W108:Y108))</f>
        <v/>
      </c>
      <c r="AA108" s="3" t="str">
        <f>IF(Z108="","",Z108*$AA$15)</f>
        <v/>
      </c>
      <c r="AB108" s="3" t="str">
        <f>IF(COUNT(F108:J108,N108:P108,T108:V108)=0,"",SUM(M108,S108,AA108))</f>
        <v/>
      </c>
      <c r="AC108" s="1" t="str">
        <f t="array" ref="AC108">IF(AB108="","",IFERROR(INDEX(HELPER!$D$8:$D$48,IFERROR(MATCH(AB108,HELPER!$B$8:$B$48,0),MATCH(AB108,HELPER!$B$8:$B$48,-1)+1)),""))</f>
        <v/>
      </c>
      <c r="AD108" t="str">
        <f t="array" ref="AD108">IF(AC108="","",IFERROR(INDEX(HELPER!$G$8:$G$48,MATCH(AC108,HELPER!$F$8:$F$48,-1)),""))</f>
        <v/>
      </c>
    </row>
    <row r="109" ht="15" customHeight="1">
      <c r="B109">
        <v>41</v>
      </c>
      <c r="C109" t="str">
        <f>IF('INPUT DATA'!N51="","",'INPUT DATA'!N51)</f>
        <v/>
      </c>
      <c r="K109" t="str">
        <f>IF(COUNT($F109:$J109)=0,"",SUM($F109:$J109))</f>
        <v/>
      </c>
      <c r="L109" s="3" t="str">
        <f>IF(COUNT(F109:J109)=0,"",IFERROR(K109/$K$15*$L$15,""))</f>
        <v/>
      </c>
      <c r="M109" s="3" t="str">
        <f>IF(L109="","",L109*$M$15)</f>
        <v/>
      </c>
      <c r="Q109" t="str">
        <f>IF(COUNT(N109:P109)=0,"",SUM(N109:P109))</f>
        <v/>
      </c>
      <c r="R109" s="3" t="str">
        <f>IF(COUNT(N109:P109)=0,"",IFERROR(Q109/$Q$15*$R$15,""))</f>
        <v/>
      </c>
      <c r="S109" s="3" t="str">
        <f>IF(R109="","",R109*$S$15)</f>
        <v/>
      </c>
      <c r="W109" s="3" t="str">
        <f>IF(T109="","",IFERROR(T109/$T$15*$W$15,""))</f>
        <v/>
      </c>
      <c r="X109" s="3" t="str">
        <f>IF(U109="","",IFERROR(U109/$U$15*$X$15,""))</f>
        <v/>
      </c>
      <c r="Y109" s="3" t="str">
        <f>IF(V109="","",IFERROR(V109/$V$15*$Y$15,""))</f>
        <v/>
      </c>
      <c r="Z109" s="3" t="str">
        <f>IF(COUNT(T109:V109)=0,"",SUM(W109:Y109))</f>
        <v/>
      </c>
      <c r="AA109" s="3" t="str">
        <f>IF(Z109="","",Z109*$AA$15)</f>
        <v/>
      </c>
      <c r="AB109" s="3" t="str">
        <f>IF(COUNT(F109:J109,N109:P109,T109:V109)=0,"",SUM(M109,S109,AA109))</f>
        <v/>
      </c>
      <c r="AC109" s="1" t="str">
        <f t="array" ref="AC109">IF(AB109="","",IFERROR(INDEX(HELPER!$D$8:$D$48,IFERROR(MATCH(AB109,HELPER!$B$8:$B$48,0),MATCH(AB109,HELPER!$B$8:$B$48,-1)+1)),""))</f>
        <v/>
      </c>
      <c r="AD109" t="str">
        <f t="array" ref="AD109">IF(AC109="","",IFERROR(INDEX(HELPER!$G$8:$G$48,MATCH(AC109,HELPER!$F$8:$F$48,-1)),""))</f>
        <v/>
      </c>
    </row>
    <row r="110" ht="15" customHeight="1">
      <c r="B110">
        <v>42</v>
      </c>
      <c r="C110" t="str">
        <f>IF('INPUT DATA'!N52="","",'INPUT DATA'!N52)</f>
        <v/>
      </c>
      <c r="K110" t="str">
        <f>IF(COUNT($F110:$J110)=0,"",SUM($F110:$J110))</f>
        <v/>
      </c>
      <c r="L110" s="3" t="str">
        <f>IF(COUNT(F110:J110)=0,"",IFERROR(K110/$K$15*$L$15,""))</f>
        <v/>
      </c>
      <c r="M110" s="3" t="str">
        <f>IF(L110="","",L110*$M$15)</f>
        <v/>
      </c>
      <c r="Q110" t="str">
        <f>IF(COUNT(N110:P110)=0,"",SUM(N110:P110))</f>
        <v/>
      </c>
      <c r="R110" s="3" t="str">
        <f>IF(COUNT(N110:P110)=0,"",IFERROR(Q110/$Q$15*$R$15,""))</f>
        <v/>
      </c>
      <c r="S110" s="3" t="str">
        <f>IF(R110="","",R110*$S$15)</f>
        <v/>
      </c>
      <c r="W110" s="3" t="str">
        <f>IF(T110="","",IFERROR(T110/$T$15*$W$15,""))</f>
        <v/>
      </c>
      <c r="X110" s="3" t="str">
        <f>IF(U110="","",IFERROR(U110/$U$15*$X$15,""))</f>
        <v/>
      </c>
      <c r="Y110" s="3" t="str">
        <f>IF(V110="","",IFERROR(V110/$V$15*$Y$15,""))</f>
        <v/>
      </c>
      <c r="Z110" s="3" t="str">
        <f>IF(COUNT(T110:V110)=0,"",SUM(W110:Y110))</f>
        <v/>
      </c>
      <c r="AA110" s="3" t="str">
        <f>IF(Z110="","",Z110*$AA$15)</f>
        <v/>
      </c>
      <c r="AB110" s="3" t="str">
        <f>IF(COUNT(F110:J110,N110:P110,T110:V110)=0,"",SUM(M110,S110,AA110))</f>
        <v/>
      </c>
      <c r="AC110" s="1" t="str">
        <f t="array" ref="AC110">IF(AB110="","",IFERROR(INDEX(HELPER!$D$8:$D$48,IFERROR(MATCH(AB110,HELPER!$B$8:$B$48,0),MATCH(AB110,HELPER!$B$8:$B$48,-1)+1)),""))</f>
        <v/>
      </c>
      <c r="AD110" t="str">
        <f t="array" ref="AD110">IF(AC110="","",IFERROR(INDEX(HELPER!$G$8:$G$48,MATCH(AC110,HELPER!$F$8:$F$48,-1)),""))</f>
        <v/>
      </c>
    </row>
    <row r="111" ht="15" customHeight="1">
      <c r="B111">
        <v>43</v>
      </c>
      <c r="C111" t="str">
        <f>IF('INPUT DATA'!N53="","",'INPUT DATA'!N53)</f>
        <v/>
      </c>
      <c r="K111" t="str">
        <f>IF(COUNT($F111:$J111)=0,"",SUM($F111:$J111))</f>
        <v/>
      </c>
      <c r="L111" s="3" t="str">
        <f>IF(COUNT(F111:J111)=0,"",IFERROR(K111/$K$15*$L$15,""))</f>
        <v/>
      </c>
      <c r="M111" s="3" t="str">
        <f>IF(L111="","",L111*$M$15)</f>
        <v/>
      </c>
      <c r="Q111" t="str">
        <f>IF(COUNT(N111:P111)=0,"",SUM(N111:P111))</f>
        <v/>
      </c>
      <c r="R111" s="3" t="str">
        <f>IF(COUNT(N111:P111)=0,"",IFERROR(Q111/$Q$15*$R$15,""))</f>
        <v/>
      </c>
      <c r="S111" s="3" t="str">
        <f>IF(R111="","",R111*$S$15)</f>
        <v/>
      </c>
      <c r="W111" s="3" t="str">
        <f>IF(T111="","",IFERROR(T111/$T$15*$W$15,""))</f>
        <v/>
      </c>
      <c r="X111" s="3" t="str">
        <f>IF(U111="","",IFERROR(U111/$U$15*$X$15,""))</f>
        <v/>
      </c>
      <c r="Y111" s="3" t="str">
        <f>IF(V111="","",IFERROR(V111/$V$15*$Y$15,""))</f>
        <v/>
      </c>
      <c r="Z111" s="3" t="str">
        <f>IF(COUNT(T111:V111)=0,"",SUM(W111:Y111))</f>
        <v/>
      </c>
      <c r="AA111" s="3" t="str">
        <f>IF(Z111="","",Z111*$AA$15)</f>
        <v/>
      </c>
      <c r="AB111" s="3" t="str">
        <f>IF(COUNT(F111:J111,N111:P111,T111:V111)=0,"",SUM(M111,S111,AA111))</f>
        <v/>
      </c>
      <c r="AC111" s="1" t="str">
        <f t="array" ref="AC111">IF(AB111="","",IFERROR(INDEX(HELPER!$D$8:$D$48,IFERROR(MATCH(AB111,HELPER!$B$8:$B$48,0),MATCH(AB111,HELPER!$B$8:$B$48,-1)+1)),""))</f>
        <v/>
      </c>
      <c r="AD111" t="str">
        <f t="array" ref="AD111">IF(AC111="","",IFERROR(INDEX(HELPER!$G$8:$G$48,MATCH(AC111,HELPER!$F$8:$F$48,-1)),""))</f>
        <v/>
      </c>
    </row>
    <row r="112" ht="15" customHeight="1">
      <c r="B112">
        <v>44</v>
      </c>
      <c r="C112" t="str">
        <f>IF('INPUT DATA'!N54="","",'INPUT DATA'!N54)</f>
        <v/>
      </c>
      <c r="K112" t="str">
        <f>IF(COUNT($F112:$J112)=0,"",SUM($F112:$J112))</f>
        <v/>
      </c>
      <c r="L112" s="3" t="str">
        <f>IF(COUNT(F112:J112)=0,"",IFERROR(K112/$K$15*$L$15,""))</f>
        <v/>
      </c>
      <c r="M112" s="3" t="str">
        <f>IF(L112="","",L112*$M$15)</f>
        <v/>
      </c>
      <c r="Q112" t="str">
        <f>IF(COUNT(N112:P112)=0,"",SUM(N112:P112))</f>
        <v/>
      </c>
      <c r="R112" s="3" t="str">
        <f>IF(COUNT(N112:P112)=0,"",IFERROR(Q112/$Q$15*$R$15,""))</f>
        <v/>
      </c>
      <c r="S112" s="3" t="str">
        <f>IF(R112="","",R112*$S$15)</f>
        <v/>
      </c>
      <c r="W112" s="3" t="str">
        <f>IF(T112="","",IFERROR(T112/$T$15*$W$15,""))</f>
        <v/>
      </c>
      <c r="X112" s="3" t="str">
        <f>IF(U112="","",IFERROR(U112/$U$15*$X$15,""))</f>
        <v/>
      </c>
      <c r="Y112" s="3" t="str">
        <f>IF(V112="","",IFERROR(V112/$V$15*$Y$15,""))</f>
        <v/>
      </c>
      <c r="Z112" s="3" t="str">
        <f>IF(COUNT(T112:V112)=0,"",SUM(W112:Y112))</f>
        <v/>
      </c>
      <c r="AA112" s="3" t="str">
        <f>IF(Z112="","",Z112*$AA$15)</f>
        <v/>
      </c>
      <c r="AB112" s="3" t="str">
        <f>IF(COUNT(F112:J112,N112:P112,T112:V112)=0,"",SUM(M112,S112,AA112))</f>
        <v/>
      </c>
      <c r="AC112" s="1" t="str">
        <f t="array" ref="AC112">IF(AB112="","",IFERROR(INDEX(HELPER!$D$8:$D$48,IFERROR(MATCH(AB112,HELPER!$B$8:$B$48,0),MATCH(AB112,HELPER!$B$8:$B$48,-1)+1)),""))</f>
        <v/>
      </c>
      <c r="AD112" t="str">
        <f t="array" ref="AD112">IF(AC112="","",IFERROR(INDEX(HELPER!$G$8:$G$48,MATCH(AC112,HELPER!$F$8:$F$48,-1)),""))</f>
        <v/>
      </c>
    </row>
    <row r="113" ht="15" customHeight="1">
      <c r="B113">
        <v>45</v>
      </c>
      <c r="C113" t="str">
        <f>IF('INPUT DATA'!N55="","",'INPUT DATA'!N55)</f>
        <v/>
      </c>
      <c r="K113" t="str">
        <f>IF(COUNT($F113:$J113)=0,"",SUM($F113:$J113))</f>
        <v/>
      </c>
      <c r="L113" s="3" t="str">
        <f>IF(COUNT(F113:J113)=0,"",IFERROR(K113/$K$15*$L$15,""))</f>
        <v/>
      </c>
      <c r="M113" s="3" t="str">
        <f>IF(L113="","",L113*$M$15)</f>
        <v/>
      </c>
      <c r="Q113" t="str">
        <f>IF(COUNT(N113:P113)=0,"",SUM(N113:P113))</f>
        <v/>
      </c>
      <c r="R113" s="3" t="str">
        <f>IF(COUNT(N113:P113)=0,"",IFERROR(Q113/$Q$15*$R$15,""))</f>
        <v/>
      </c>
      <c r="S113" s="3" t="str">
        <f>IF(R113="","",R113*$S$15)</f>
        <v/>
      </c>
      <c r="W113" s="3" t="str">
        <f>IF(T113="","",IFERROR(T113/$T$15*$W$15,""))</f>
        <v/>
      </c>
      <c r="X113" s="3" t="str">
        <f>IF(U113="","",IFERROR(U113/$U$15*$X$15,""))</f>
        <v/>
      </c>
      <c r="Y113" s="3" t="str">
        <f>IF(V113="","",IFERROR(V113/$V$15*$Y$15,""))</f>
        <v/>
      </c>
      <c r="Z113" s="3" t="str">
        <f>IF(COUNT(T113:V113)=0,"",SUM(W113:Y113))</f>
        <v/>
      </c>
      <c r="AA113" s="3" t="str">
        <f>IF(Z113="","",Z113*$AA$15)</f>
        <v/>
      </c>
      <c r="AB113" s="3" t="str">
        <f>IF(COUNT(F113:J113,N113:P113,T113:V113)=0,"",SUM(M113,S113,AA113))</f>
        <v/>
      </c>
      <c r="AC113" s="1" t="str">
        <f t="array" ref="AC113">IF(AB113="","",IFERROR(INDEX(HELPER!$D$8:$D$48,IFERROR(MATCH(AB113,HELPER!$B$8:$B$48,0),MATCH(AB113,HELPER!$B$8:$B$48,-1)+1)),""))</f>
        <v/>
      </c>
      <c r="AD113" t="str">
        <f t="array" ref="AD113">IF(AC113="","",IFERROR(INDEX(HELPER!$G$8:$G$48,MATCH(AC113,HELPER!$F$8:$F$48,-1)),""))</f>
        <v/>
      </c>
    </row>
    <row r="114" ht="15" customHeight="1">
      <c r="B114">
        <v>46</v>
      </c>
      <c r="C114" t="str">
        <f>IF('INPUT DATA'!N56="","",'INPUT DATA'!N56)</f>
        <v/>
      </c>
      <c r="K114" t="str">
        <f>IF(COUNT($F114:$J114)=0,"",SUM($F114:$J114))</f>
        <v/>
      </c>
      <c r="L114" s="3" t="str">
        <f>IF(COUNT(F114:J114)=0,"",IFERROR(K114/$K$15*$L$15,""))</f>
        <v/>
      </c>
      <c r="M114" s="3" t="str">
        <f>IF(L114="","",L114*$M$15)</f>
        <v/>
      </c>
      <c r="Q114" t="str">
        <f>IF(COUNT(N114:P114)=0,"",SUM(N114:P114))</f>
        <v/>
      </c>
      <c r="R114" s="3" t="str">
        <f>IF(COUNT(N114:P114)=0,"",IFERROR(Q114/$Q$15*$R$15,""))</f>
        <v/>
      </c>
      <c r="S114" s="3" t="str">
        <f>IF(R114="","",R114*$S$15)</f>
        <v/>
      </c>
      <c r="W114" s="3" t="str">
        <f>IF(T114="","",IFERROR(T114/$T$15*$W$15,""))</f>
        <v/>
      </c>
      <c r="X114" s="3" t="str">
        <f>IF(U114="","",IFERROR(U114/$U$15*$X$15,""))</f>
        <v/>
      </c>
      <c r="Y114" s="3" t="str">
        <f>IF(V114="","",IFERROR(V114/$V$15*$Y$15,""))</f>
        <v/>
      </c>
      <c r="Z114" s="3" t="str">
        <f>IF(COUNT(T114:V114)=0,"",SUM(W114:Y114))</f>
        <v/>
      </c>
      <c r="AA114" s="3" t="str">
        <f>IF(Z114="","",Z114*$AA$15)</f>
        <v/>
      </c>
      <c r="AB114" s="3" t="str">
        <f>IF(COUNT(F114:J114,N114:P114,T114:V114)=0,"",SUM(M114,S114,AA114))</f>
        <v/>
      </c>
      <c r="AC114" s="1" t="str">
        <f t="array" ref="AC114">IF(AB114="","",IFERROR(INDEX(HELPER!$D$8:$D$48,IFERROR(MATCH(AB114,HELPER!$B$8:$B$48,0),MATCH(AB114,HELPER!$B$8:$B$48,-1)+1)),""))</f>
        <v/>
      </c>
      <c r="AD114" t="str">
        <f t="array" ref="AD114">IF(AC114="","",IFERROR(INDEX(HELPER!$G$8:$G$48,MATCH(AC114,HELPER!$F$8:$F$48,-1)),""))</f>
        <v/>
      </c>
    </row>
    <row r="115" ht="15" customHeight="1">
      <c r="B115">
        <v>47</v>
      </c>
      <c r="C115" t="str">
        <f>IF('INPUT DATA'!N57="","",'INPUT DATA'!N57)</f>
        <v/>
      </c>
      <c r="K115" t="str">
        <f>IF(COUNT($F115:$J115)=0,"",SUM($F115:$J115))</f>
        <v/>
      </c>
      <c r="L115" s="3" t="str">
        <f>IF(COUNT(F115:J115)=0,"",IFERROR(K115/$K$15*$L$15,""))</f>
        <v/>
      </c>
      <c r="M115" s="3" t="str">
        <f>IF(L115="","",L115*$M$15)</f>
        <v/>
      </c>
      <c r="Q115" t="str">
        <f>IF(COUNT(N115:P115)=0,"",SUM(N115:P115))</f>
        <v/>
      </c>
      <c r="R115" s="3" t="str">
        <f>IF(COUNT(N115:P115)=0,"",IFERROR(Q115/$Q$15*$R$15,""))</f>
        <v/>
      </c>
      <c r="S115" s="3" t="str">
        <f>IF(R115="","",R115*$S$15)</f>
        <v/>
      </c>
      <c r="W115" s="3" t="str">
        <f>IF(T115="","",IFERROR(T115/$T$15*$W$15,""))</f>
        <v/>
      </c>
      <c r="X115" s="3" t="str">
        <f>IF(U115="","",IFERROR(U115/$U$15*$X$15,""))</f>
        <v/>
      </c>
      <c r="Y115" s="3" t="str">
        <f>IF(V115="","",IFERROR(V115/$V$15*$Y$15,""))</f>
        <v/>
      </c>
      <c r="Z115" s="3" t="str">
        <f>IF(COUNT(T115:V115)=0,"",SUM(W115:Y115))</f>
        <v/>
      </c>
      <c r="AA115" s="3" t="str">
        <f>IF(Z115="","",Z115*$AA$15)</f>
        <v/>
      </c>
      <c r="AB115" s="3" t="str">
        <f>IF(COUNT(F115:J115,N115:P115,T115:V115)=0,"",SUM(M115,S115,AA115))</f>
        <v/>
      </c>
      <c r="AC115" s="1" t="str">
        <f t="array" ref="AC115">IF(AB115="","",IFERROR(INDEX(HELPER!$D$8:$D$48,IFERROR(MATCH(AB115,HELPER!$B$8:$B$48,0),MATCH(AB115,HELPER!$B$8:$B$48,-1)+1)),""))</f>
        <v/>
      </c>
      <c r="AD115" t="str">
        <f t="array" ref="AD115">IF(AC115="","",IFERROR(INDEX(HELPER!$G$8:$G$48,MATCH(AC115,HELPER!$F$8:$F$48,-1)),""))</f>
        <v/>
      </c>
    </row>
    <row r="116" ht="15" customHeight="1">
      <c r="B116">
        <v>48</v>
      </c>
      <c r="C116" t="str">
        <f>IF('INPUT DATA'!N58="","",'INPUT DATA'!N58)</f>
        <v/>
      </c>
      <c r="K116" t="str">
        <f>IF(COUNT($F116:$J116)=0,"",SUM($F116:$J116))</f>
        <v/>
      </c>
      <c r="L116" s="3" t="str">
        <f>IF(COUNT(F116:J116)=0,"",IFERROR(K116/$K$15*$L$15,""))</f>
        <v/>
      </c>
      <c r="M116" s="3" t="str">
        <f>IF(L116="","",L116*$M$15)</f>
        <v/>
      </c>
      <c r="Q116" t="str">
        <f>IF(COUNT(N116:P116)=0,"",SUM(N116:P116))</f>
        <v/>
      </c>
      <c r="R116" s="3" t="str">
        <f>IF(COUNT(N116:P116)=0,"",IFERROR(Q116/$Q$15*$R$15,""))</f>
        <v/>
      </c>
      <c r="S116" s="3" t="str">
        <f>IF(R116="","",R116*$S$15)</f>
        <v/>
      </c>
      <c r="W116" s="3" t="str">
        <f>IF(T116="","",IFERROR(T116/$T$15*$W$15,""))</f>
        <v/>
      </c>
      <c r="X116" s="3" t="str">
        <f>IF(U116="","",IFERROR(U116/$U$15*$X$15,""))</f>
        <v/>
      </c>
      <c r="Y116" s="3" t="str">
        <f>IF(V116="","",IFERROR(V116/$V$15*$Y$15,""))</f>
        <v/>
      </c>
      <c r="Z116" s="3" t="str">
        <f>IF(COUNT(T116:V116)=0,"",SUM(W116:Y116))</f>
        <v/>
      </c>
      <c r="AA116" s="3" t="str">
        <f>IF(Z116="","",Z116*$AA$15)</f>
        <v/>
      </c>
      <c r="AB116" s="3" t="str">
        <f>IF(COUNT(F116:J116,N116:P116,T116:V116)=0,"",SUM(M116,S116,AA116))</f>
        <v/>
      </c>
      <c r="AC116" s="1" t="str">
        <f t="array" ref="AC116">IF(AB116="","",IFERROR(INDEX(HELPER!$D$8:$D$48,IFERROR(MATCH(AB116,HELPER!$B$8:$B$48,0),MATCH(AB116,HELPER!$B$8:$B$48,-1)+1)),""))</f>
        <v/>
      </c>
      <c r="AD116" t="str">
        <f t="array" ref="AD116">IF(AC116="","",IFERROR(INDEX(HELPER!$G$8:$G$48,MATCH(AC116,HELPER!$F$8:$F$48,-1)),""))</f>
        <v/>
      </c>
    </row>
    <row r="117" ht="15" customHeight="1">
      <c r="B117">
        <v>49</v>
      </c>
      <c r="C117" t="str">
        <f>IF('INPUT DATA'!N59="","",'INPUT DATA'!N59)</f>
        <v/>
      </c>
      <c r="K117" t="str">
        <f>IF(COUNT($F117:$J117)=0,"",SUM($F117:$J117))</f>
        <v/>
      </c>
      <c r="L117" s="3" t="str">
        <f>IF(COUNT(F117:J117)=0,"",IFERROR(K117/$K$15*$L$15,""))</f>
        <v/>
      </c>
      <c r="M117" s="3" t="str">
        <f>IF(L117="","",L117*$M$15)</f>
        <v/>
      </c>
      <c r="Q117" t="str">
        <f>IF(COUNT(N117:P117)=0,"",SUM(N117:P117))</f>
        <v/>
      </c>
      <c r="R117" s="3" t="str">
        <f>IF(COUNT(N117:P117)=0,"",IFERROR(Q117/$Q$15*$R$15,""))</f>
        <v/>
      </c>
      <c r="S117" s="3" t="str">
        <f>IF(R117="","",R117*$S$15)</f>
        <v/>
      </c>
      <c r="W117" s="3" t="str">
        <f>IF(T117="","",IFERROR(T117/$T$15*$W$15,""))</f>
        <v/>
      </c>
      <c r="X117" s="3" t="str">
        <f>IF(U117="","",IFERROR(U117/$U$15*$X$15,""))</f>
        <v/>
      </c>
      <c r="Y117" s="3" t="str">
        <f>IF(V117="","",IFERROR(V117/$V$15*$Y$15,""))</f>
        <v/>
      </c>
      <c r="Z117" s="3" t="str">
        <f>IF(COUNT(T117:V117)=0,"",SUM(W117:Y117))</f>
        <v/>
      </c>
      <c r="AA117" s="3" t="str">
        <f>IF(Z117="","",Z117*$AA$15)</f>
        <v/>
      </c>
      <c r="AB117" s="3" t="str">
        <f>IF(COUNT(F117:J117,N117:P117,T117:V117)=0,"",SUM(M117,S117,AA117))</f>
        <v/>
      </c>
      <c r="AC117" s="1" t="str">
        <f t="array" ref="AC117">IF(AB117="","",IFERROR(INDEX(HELPER!$D$8:$D$48,IFERROR(MATCH(AB117,HELPER!$B$8:$B$48,0),MATCH(AB117,HELPER!$B$8:$B$48,-1)+1)),""))</f>
        <v/>
      </c>
      <c r="AD117" t="str">
        <f t="array" ref="AD117">IF(AC117="","",IFERROR(INDEX(HELPER!$G$8:$G$48,MATCH(AC117,HELPER!$F$8:$F$48,-1)),""))</f>
        <v/>
      </c>
    </row>
    <row r="118" ht="15" customHeight="1">
      <c r="B118">
        <v>50</v>
      </c>
      <c r="C118" t="str">
        <f>IF('INPUT DATA'!N60="","",'INPUT DATA'!N60)</f>
        <v/>
      </c>
      <c r="K118" t="str">
        <f>IF(COUNT($F118:$J118)=0,"",SUM($F118:$J118))</f>
        <v/>
      </c>
      <c r="L118" s="3" t="str">
        <f>IF(COUNT(F118:J118)=0,"",IFERROR(K118/$K$15*$L$15,""))</f>
        <v/>
      </c>
      <c r="M118" s="3" t="str">
        <f>IF(L118="","",L118*$M$15)</f>
        <v/>
      </c>
      <c r="Q118" t="str">
        <f>IF(COUNT(N118:P118)=0,"",SUM(N118:P118))</f>
        <v/>
      </c>
      <c r="R118" s="3" t="str">
        <f>IF(COUNT(N118:P118)=0,"",IFERROR(Q118/$Q$15*$R$15,""))</f>
        <v/>
      </c>
      <c r="S118" s="3" t="str">
        <f>IF(R118="","",R118*$S$15)</f>
        <v/>
      </c>
      <c r="W118" s="3" t="str">
        <f>IF(T118="","",IFERROR(T118/$T$15*$W$15,""))</f>
        <v/>
      </c>
      <c r="X118" s="3" t="str">
        <f>IF(U118="","",IFERROR(U118/$U$15*$X$15,""))</f>
        <v/>
      </c>
      <c r="Y118" s="3" t="str">
        <f>IF(V118="","",IFERROR(V118/$V$15*$Y$15,""))</f>
        <v/>
      </c>
      <c r="Z118" s="3" t="str">
        <f>IF(COUNT(T118:V118)=0,"",SUM(W118:Y118))</f>
        <v/>
      </c>
      <c r="AA118" s="3" t="str">
        <f>IF(Z118="","",Z118*$AA$15)</f>
        <v/>
      </c>
      <c r="AB118" s="3" t="str">
        <f>IF(COUNT(F118:J118,N118:P118,T118:V118)=0,"",SUM(M118,S118,AA118))</f>
        <v/>
      </c>
      <c r="AC118" s="1" t="str">
        <f t="array" ref="AC118">IF(AB118="","",IFERROR(INDEX(HELPER!$D$8:$D$48,IFERROR(MATCH(AB118,HELPER!$B$8:$B$48,0),MATCH(AB118,HELPER!$B$8:$B$48,-1)+1)),""))</f>
        <v/>
      </c>
      <c r="AD118" t="str">
        <f t="array" ref="AD118">IF(AC118="","",IFERROR(INDEX(HELPER!$G$8:$G$48,MATCH(AC118,HELPER!$F$8:$F$48,-1)),""))</f>
        <v/>
      </c>
    </row>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 ref="C69:E69"/>
    <mergeCell ref="C70:E70"/>
    <mergeCell ref="C71:E71"/>
    <mergeCell ref="C72:E72"/>
    <mergeCell ref="C73:E73"/>
    <mergeCell ref="C74:E74"/>
    <mergeCell ref="C75:E75"/>
  </mergeCells>
  <pageMargins left="0.7" right="0.7" top="0.75" bottom="0.75" header="0" footer="0"/>
  <ignoredErrors>
    <ignoredError numberStoredAsText="1" sqref="A1:AF1000"/>
  </ignoredErrors>
</worksheet>
</file>

<file path=xl/worksheets/sheet5.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3.88"/>
    <col min="2" max="2" customWidth="1" width="3.88"/>
    <col min="3" max="3" customWidth="1" width="12.63"/>
    <col min="4" max="4" customWidth="1" width="12.63"/>
    <col min="5" max="5" customWidth="1" width="12.63"/>
    <col min="6" max="6" customWidth="1" width="15.13"/>
    <col min="7" max="7" customWidth="1" width="15.13"/>
    <col min="8" max="8" customWidth="1" width="15.13"/>
    <col min="9" max="9" customWidth="1" width="17.88"/>
    <col min="10" max="10" customWidth="1" width="21.5"/>
    <col min="11" max="11" customWidth="1" width="17.38"/>
    <col min="12" max="12" customWidth="1" width="3.88"/>
    <col min="13" max="13" customWidth="1" width="12.63"/>
    <col min="14" max="14" customWidth="1" width="16.38"/>
    <col min="15" max="15" customWidth="1" width="12.63"/>
    <col min="16" max="16" customWidth="1" width="12.63"/>
    <col min="17" max="17" customWidth="1" width="12.63"/>
    <col min="18" max="18" customWidth="1" width="12.63"/>
  </cols>
  <sheetData>
    <row r="1" ht="15.75" customHeight="1"/>
    <row r="2" ht="15.75" customHeight="1">
      <c r="B2" t="str">
        <v>CLASS RECORD - FINAL GRADES</v>
      </c>
    </row>
    <row r="3" ht="15.75" customHeight="1"/>
    <row r="4" ht="15.75" customHeight="1"/>
    <row r="5" ht="15.75" customHeight="1">
      <c r="C5" t="str">
        <v>REGION</v>
      </c>
      <c r="D5" t="str">
        <f>IF('INPUT DATA'!E10="","",'INPUT DATA'!E10)</f>
        <v/>
      </c>
      <c r="F5" t="str">
        <v>DIVISION</v>
      </c>
      <c r="G5" t="str">
        <f>IF('INPUT DATA'!E11="","",'INPUT DATA'!E11)</f>
        <v/>
      </c>
      <c r="I5" t="str">
        <v>SCHOOL ID</v>
      </c>
      <c r="J5" t="str">
        <f>IF('INPUT DATA'!E13="","",'INPUT DATA'!E13)</f>
        <v/>
      </c>
    </row>
    <row r="6" ht="15.75" customHeight="1">
      <c r="C6" t="str">
        <v>SCHOOL NAME</v>
      </c>
      <c r="D6" t="str">
        <f>IF('INPUT DATA'!E14="","",'INPUT DATA'!E14)</f>
        <v/>
      </c>
      <c r="I6" t="str">
        <v>SCHOOL YEAR</v>
      </c>
      <c r="J6" t="str">
        <f>IF('INPUT DATA'!E14="","",'INPUT DATA'!E14)</f>
        <v/>
      </c>
    </row>
    <row r="7" ht="15.75" customHeight="1"/>
    <row r="8" ht="13.5" customHeight="1"/>
    <row r="9" ht="15.75" customHeight="1">
      <c r="B9" t="str">
        <v>GRADE LEVEL</v>
      </c>
      <c r="D9" t="str">
        <f>IF('INPUT DATA'!E25="","",'INPUT DATA'!E25)</f>
        <v/>
      </c>
      <c r="H9" t="str">
        <v>SUBJECT</v>
      </c>
      <c r="I9" t="str">
        <f>IF('INPUT DATA'!E24="","",'INPUT DATA'!E24)</f>
        <v/>
      </c>
    </row>
    <row r="10" ht="15.75" customHeight="1">
      <c r="B10" t="str">
        <v>SECTION</v>
      </c>
      <c r="D10" t="str">
        <f>IF('INPUT DATA'!E26="","",'INPUT DATA'!E26)</f>
        <v/>
      </c>
      <c r="H10" t="str">
        <v>TEACHER</v>
      </c>
      <c r="I10" t="str">
        <f>IF('INPUT DATA'!E23="","",'INPUT DATA'!E23)</f>
        <v/>
      </c>
    </row>
    <row r="11" ht="14.25" customHeight="1">
      <c r="B11" t="str">
        <v>LEARNERS' NAMES</v>
      </c>
      <c r="F11" t="str">
        <v>TERM GRADES</v>
      </c>
      <c r="I11" t="str">
        <v>FINAL GRADE</v>
      </c>
      <c r="J11" t="str">
        <v>DESCRIPTOR</v>
      </c>
      <c r="K11" t="str">
        <v>REMARK</v>
      </c>
    </row>
    <row r="12" ht="14.25" customHeight="1">
      <c r="F12" t="str">
        <v>TERM 1</v>
      </c>
      <c r="G12" t="str">
        <v>TERM 2</v>
      </c>
      <c r="H12" t="str">
        <v>TERM 3</v>
      </c>
    </row>
    <row r="13" ht="14.25" customHeight="1">
      <c r="B13" t="str">
        <v>MALE</v>
      </c>
    </row>
    <row r="14" ht="15" customHeight="1" xml:space="preserve">
      <c r="B14">
        <v>1</v>
      </c>
      <c r="C14" t="str">
        <f>IF('INPUT DATA'!K11="","",'INPUT DATA'!K11)</f>
        <v/>
      </c>
      <c r="F14" t="str">
        <f>IF('TERM 1'!AC18="","",'TERM 1'!AC18)</f>
        <v/>
      </c>
      <c r="G14" t="str">
        <f>IF('TERM 2'!AC18="","",'TERM 2'!AC18)</f>
        <v/>
      </c>
      <c r="H14" t="str">
        <f>IF('TERM 3'!AC18="","",'TERM 3'!AC18)</f>
        <v/>
      </c>
      <c r="I14" s="1" t="str">
        <f>IF(COUNT(F14,G14,H14)&lt;3,"",ROUND(AVERAGE(F14,G14,H14),0))</f>
        <v/>
      </c>
      <c r="J14" t="str">
        <f t="array" ref="J14">IF(I14="","",IFERROR(INDEX(HELPER!$G$8:$G$48,MATCH(I14,HELPER!$F$8:$F$48,-1)),""))</f>
        <v/>
      </c>
      <c r="K14" t="str" xml:space="preserve">
        <f xml:space="preserve">IF(I14="", "", IF(I14&gt;=75, "Passed", "Failed"))
</f>
        <v/>
      </c>
    </row>
    <row r="15" ht="15" customHeight="1" xml:space="preserve">
      <c r="B15">
        <v>2</v>
      </c>
      <c r="C15" t="str">
        <f>IF('INPUT DATA'!K12="","",'INPUT DATA'!K12)</f>
        <v/>
      </c>
      <c r="F15" t="str">
        <f>IF('TERM 1'!AC19="","",'TERM 1'!AC19)</f>
        <v/>
      </c>
      <c r="G15" t="str">
        <f>IF('TERM 2'!AC19="","",'TERM 2'!AC19)</f>
        <v/>
      </c>
      <c r="H15" t="str">
        <f>IF('TERM 3'!AC19="","",'TERM 3'!AC19)</f>
        <v/>
      </c>
      <c r="I15" s="1" t="str">
        <f>IF(COUNT(F15,G15,H15)&lt;3,"",ROUND(AVERAGE(F15,G15,H15),0))</f>
        <v/>
      </c>
      <c r="J15" t="str">
        <f t="array" ref="J15">IF(I15="","",IFERROR(INDEX(HELPER!$G$8:$G$48,MATCH(I15,HELPER!$F$8:$F$48,-1)),""))</f>
        <v/>
      </c>
      <c r="K15" t="str" xml:space="preserve">
        <f xml:space="preserve">IF(I15="", "", IF(I15&gt;=75, "Passed", "Failed"))
</f>
        <v/>
      </c>
    </row>
    <row r="16" ht="15" customHeight="1" xml:space="preserve">
      <c r="B16">
        <v>3</v>
      </c>
      <c r="C16" t="str">
        <f>IF('INPUT DATA'!K13="","",'INPUT DATA'!K13)</f>
        <v/>
      </c>
      <c r="F16" t="str">
        <f>IF('TERM 1'!AC20="","",'TERM 1'!AC20)</f>
        <v/>
      </c>
      <c r="G16" t="str">
        <f>IF('TERM 2'!AC20="","",'TERM 2'!AC20)</f>
        <v/>
      </c>
      <c r="H16" t="str">
        <f>IF('TERM 3'!AC20="","",'TERM 3'!AC20)</f>
        <v/>
      </c>
      <c r="I16" s="1" t="str">
        <f>IF(COUNT(F16,G16,H16)&lt;3,"",ROUND(AVERAGE(F16,G16,H16),0))</f>
        <v/>
      </c>
      <c r="J16" t="str">
        <f t="array" ref="J16">IF(I16="","",IFERROR(INDEX(HELPER!$G$8:$G$48,MATCH(I16,HELPER!$F$8:$F$48,-1)),""))</f>
        <v/>
      </c>
      <c r="K16" t="str" xml:space="preserve">
        <f xml:space="preserve">IF(I16="", "", IF(I16&gt;=75, "Passed", "Failed"))
</f>
        <v/>
      </c>
    </row>
    <row r="17" ht="15" customHeight="1" xml:space="preserve">
      <c r="B17">
        <v>4</v>
      </c>
      <c r="C17" t="str">
        <f>IF('INPUT DATA'!K14="","",'INPUT DATA'!K14)</f>
        <v/>
      </c>
      <c r="F17" t="str">
        <f>IF('TERM 1'!AC21="","",'TERM 1'!AC21)</f>
        <v/>
      </c>
      <c r="G17" t="str">
        <f>IF('TERM 2'!AC21="","",'TERM 2'!AC21)</f>
        <v/>
      </c>
      <c r="H17" t="str">
        <f>IF('TERM 3'!AC21="","",'TERM 3'!AC21)</f>
        <v/>
      </c>
      <c r="I17" s="1" t="str">
        <f>IF(COUNT(F17,G17,H17)&lt;3,"",ROUND(AVERAGE(F17,G17,H17),0))</f>
        <v/>
      </c>
      <c r="J17" t="str">
        <f t="array" ref="J17">IF(I17="","",IFERROR(INDEX(HELPER!$G$8:$G$48,MATCH(I17,HELPER!$F$8:$F$48,-1)),""))</f>
        <v/>
      </c>
      <c r="K17" t="str" xml:space="preserve">
        <f xml:space="preserve">IF(I17="", "", IF(I17&gt;=75, "Passed", "Failed"))
</f>
        <v/>
      </c>
    </row>
    <row r="18" ht="15" customHeight="1" xml:space="preserve">
      <c r="B18">
        <v>5</v>
      </c>
      <c r="C18" t="str">
        <f>IF('INPUT DATA'!K15="","",'INPUT DATA'!K15)</f>
        <v/>
      </c>
      <c r="F18" t="str">
        <f>IF('TERM 1'!AC22="","",'TERM 1'!AC22)</f>
        <v/>
      </c>
      <c r="G18" t="str">
        <f>IF('TERM 2'!AC22="","",'TERM 2'!AC22)</f>
        <v/>
      </c>
      <c r="H18" t="str">
        <f>IF('TERM 3'!AC22="","",'TERM 3'!AC22)</f>
        <v/>
      </c>
      <c r="I18" s="1" t="str">
        <f>IF(COUNT(F18,G18,H18)&lt;3,"",ROUND(AVERAGE(F18,G18,H18),0))</f>
        <v/>
      </c>
      <c r="J18" t="str">
        <f t="array" ref="J18">IF(I18="","",IFERROR(INDEX(HELPER!$G$8:$G$48,MATCH(I18,HELPER!$F$8:$F$48,-1)),""))</f>
        <v/>
      </c>
      <c r="K18" t="str" xml:space="preserve">
        <f xml:space="preserve">IF(I18="", "", IF(I18&gt;=75, "Passed", "Failed"))
</f>
        <v/>
      </c>
    </row>
    <row r="19" ht="15" customHeight="1" xml:space="preserve">
      <c r="B19">
        <v>6</v>
      </c>
      <c r="C19" t="str">
        <f>IF('INPUT DATA'!K16="","",'INPUT DATA'!K16)</f>
        <v/>
      </c>
      <c r="F19" t="str">
        <f>IF('TERM 1'!AC23="","",'TERM 1'!AC23)</f>
        <v/>
      </c>
      <c r="G19" t="str">
        <f>IF('TERM 2'!AC23="","",'TERM 2'!AC23)</f>
        <v/>
      </c>
      <c r="H19" t="str">
        <f>IF('TERM 3'!AC23="","",'TERM 3'!AC23)</f>
        <v/>
      </c>
      <c r="I19" s="1" t="str">
        <f>IF(COUNT(F19,G19,H19)&lt;3,"",ROUND(AVERAGE(F19,G19,H19),0))</f>
        <v/>
      </c>
      <c r="J19" t="str">
        <f t="array" ref="J19">IF(I19="","",IFERROR(INDEX(HELPER!$G$8:$G$48,MATCH(I19,HELPER!$F$8:$F$48,-1)),""))</f>
        <v/>
      </c>
      <c r="K19" t="str" xml:space="preserve">
        <f xml:space="preserve">IF(I19="", "", IF(I19&gt;=75, "Passed", "Failed"))
</f>
        <v/>
      </c>
    </row>
    <row r="20" ht="15" customHeight="1" xml:space="preserve">
      <c r="B20">
        <v>7</v>
      </c>
      <c r="C20" t="str">
        <f>IF('INPUT DATA'!K17="","",'INPUT DATA'!K17)</f>
        <v/>
      </c>
      <c r="F20" t="str">
        <f>IF('TERM 1'!AC24="","",'TERM 1'!AC24)</f>
        <v/>
      </c>
      <c r="G20" t="str">
        <f>IF('TERM 2'!AC24="","",'TERM 2'!AC24)</f>
        <v/>
      </c>
      <c r="H20" t="str">
        <f>IF('TERM 3'!AC24="","",'TERM 3'!AC24)</f>
        <v/>
      </c>
      <c r="I20" s="1" t="str">
        <f>IF(COUNT(F20,G20,H20)&lt;3,"",ROUND(AVERAGE(F20,G20,H20),0))</f>
        <v/>
      </c>
      <c r="J20" t="str">
        <f t="array" ref="J20">IF(I20="","",IFERROR(INDEX(HELPER!$G$8:$G$48,MATCH(I20,HELPER!$F$8:$F$48,-1)),""))</f>
        <v/>
      </c>
      <c r="K20" t="str" xml:space="preserve">
        <f xml:space="preserve">IF(I20="", "", IF(I20&gt;=75, "Passed", "Failed"))
</f>
        <v/>
      </c>
    </row>
    <row r="21" ht="15" customHeight="1" xml:space="preserve">
      <c r="B21">
        <v>8</v>
      </c>
      <c r="C21" t="str">
        <f>IF('INPUT DATA'!K18="","",'INPUT DATA'!K18)</f>
        <v/>
      </c>
      <c r="F21" t="str">
        <f>IF('TERM 1'!AC25="","",'TERM 1'!AC25)</f>
        <v/>
      </c>
      <c r="G21" t="str">
        <f>IF('TERM 2'!AC25="","",'TERM 2'!AC25)</f>
        <v/>
      </c>
      <c r="H21" t="str">
        <f>IF('TERM 3'!AC25="","",'TERM 3'!AC25)</f>
        <v/>
      </c>
      <c r="I21" s="1" t="str">
        <f>IF(COUNT(F21,G21,H21)&lt;3,"",ROUND(AVERAGE(F21,G21,H21),0))</f>
        <v/>
      </c>
      <c r="J21" t="str">
        <f t="array" ref="J21">IF(I21="","",IFERROR(INDEX(HELPER!$G$8:$G$48,MATCH(I21,HELPER!$F$8:$F$48,-1)),""))</f>
        <v/>
      </c>
      <c r="K21" t="str" xml:space="preserve">
        <f xml:space="preserve">IF(I21="", "", IF(I21&gt;=75, "Passed", "Failed"))
</f>
        <v/>
      </c>
    </row>
    <row r="22" ht="15" customHeight="1" xml:space="preserve">
      <c r="B22">
        <v>9</v>
      </c>
      <c r="C22" t="str">
        <f>IF('INPUT DATA'!K19="","",'INPUT DATA'!K19)</f>
        <v/>
      </c>
      <c r="F22" t="str">
        <f>IF('TERM 1'!AC26="","",'TERM 1'!AC26)</f>
        <v/>
      </c>
      <c r="G22" t="str">
        <f>IF('TERM 2'!AC26="","",'TERM 2'!AC26)</f>
        <v/>
      </c>
      <c r="H22" t="str">
        <f>IF('TERM 3'!AC26="","",'TERM 3'!AC26)</f>
        <v/>
      </c>
      <c r="I22" s="1" t="str">
        <f>IF(COUNT(F22,G22,H22)&lt;3,"",ROUND(AVERAGE(F22,G22,H22),0))</f>
        <v/>
      </c>
      <c r="J22" t="str">
        <f t="array" ref="J22">IF(I22="","",IFERROR(INDEX(HELPER!$G$8:$G$48,MATCH(I22,HELPER!$F$8:$F$48,-1)),""))</f>
        <v/>
      </c>
      <c r="K22" t="str" xml:space="preserve">
        <f xml:space="preserve">IF(I22="", "", IF(I22&gt;=75, "Passed", "Failed"))
</f>
        <v/>
      </c>
    </row>
    <row r="23" ht="15" customHeight="1" xml:space="preserve">
      <c r="B23">
        <v>10</v>
      </c>
      <c r="C23" t="str">
        <f>IF('INPUT DATA'!K20="","",'INPUT DATA'!K20)</f>
        <v/>
      </c>
      <c r="F23" t="str">
        <f>IF('TERM 1'!AC27="","",'TERM 1'!AC27)</f>
        <v/>
      </c>
      <c r="G23" t="str">
        <f>IF('TERM 2'!AC27="","",'TERM 2'!AC27)</f>
        <v/>
      </c>
      <c r="H23" t="str">
        <f>IF('TERM 3'!AC27="","",'TERM 3'!AC27)</f>
        <v/>
      </c>
      <c r="I23" s="1" t="str">
        <f>IF(COUNT(F23,G23,H23)&lt;3,"",ROUND(AVERAGE(F23,G23,H23),0))</f>
        <v/>
      </c>
      <c r="J23" t="str">
        <f t="array" ref="J23">IF(I23="","",IFERROR(INDEX(HELPER!$G$8:$G$48,MATCH(I23,HELPER!$F$8:$F$48,-1)),""))</f>
        <v/>
      </c>
      <c r="K23" t="str" xml:space="preserve">
        <f xml:space="preserve">IF(I23="", "", IF(I23&gt;=75, "Passed", "Failed"))
</f>
        <v/>
      </c>
    </row>
    <row r="24" ht="15" customHeight="1" xml:space="preserve">
      <c r="B24">
        <v>11</v>
      </c>
      <c r="C24" t="str">
        <f>IF('INPUT DATA'!K21="","",'INPUT DATA'!K21)</f>
        <v/>
      </c>
      <c r="F24" t="str">
        <f>IF('TERM 1'!AC28="","",'TERM 1'!AC28)</f>
        <v/>
      </c>
      <c r="G24" t="str">
        <f>IF('TERM 2'!AC28="","",'TERM 2'!AC28)</f>
        <v/>
      </c>
      <c r="H24" t="str">
        <f>IF('TERM 3'!AC28="","",'TERM 3'!AC28)</f>
        <v/>
      </c>
      <c r="I24" s="1" t="str">
        <f>IF(COUNT(F24,G24,H24)&lt;3,"",ROUND(AVERAGE(F24,G24,H24),0))</f>
        <v/>
      </c>
      <c r="J24" t="str">
        <f t="array" ref="J24">IF(I24="","",IFERROR(INDEX(HELPER!$G$8:$G$48,MATCH(I24,HELPER!$F$8:$F$48,-1)),""))</f>
        <v/>
      </c>
      <c r="K24" t="str" xml:space="preserve">
        <f xml:space="preserve">IF(I24="", "", IF(I24&gt;=75, "Passed", "Failed"))
</f>
        <v/>
      </c>
    </row>
    <row r="25" ht="15" customHeight="1" xml:space="preserve">
      <c r="B25">
        <v>12</v>
      </c>
      <c r="C25" t="str">
        <f>IF('INPUT DATA'!K22="","",'INPUT DATA'!K22)</f>
        <v/>
      </c>
      <c r="F25" t="str">
        <f>IF('TERM 1'!AC29="","",'TERM 1'!AC29)</f>
        <v/>
      </c>
      <c r="G25" t="str">
        <f>IF('TERM 2'!AC29="","",'TERM 2'!AC29)</f>
        <v/>
      </c>
      <c r="H25" t="str">
        <f>IF('TERM 3'!AC29="","",'TERM 3'!AC29)</f>
        <v/>
      </c>
      <c r="I25" s="1" t="str">
        <f>IF(COUNT(F25,G25,H25)&lt;3,"",ROUND(AVERAGE(F25,G25,H25),0))</f>
        <v/>
      </c>
      <c r="J25" t="str">
        <f t="array" ref="J25">IF(I25="","",IFERROR(INDEX(HELPER!$G$8:$G$48,MATCH(I25,HELPER!$F$8:$F$48,-1)),""))</f>
        <v/>
      </c>
      <c r="K25" t="str" xml:space="preserve">
        <f xml:space="preserve">IF(I25="", "", IF(I25&gt;=75, "Passed", "Failed"))
</f>
        <v/>
      </c>
    </row>
    <row r="26" ht="15" customHeight="1" xml:space="preserve">
      <c r="B26">
        <v>13</v>
      </c>
      <c r="C26" t="str">
        <f>IF('INPUT DATA'!K23="","",'INPUT DATA'!K23)</f>
        <v/>
      </c>
      <c r="F26" t="str">
        <f>IF('TERM 1'!AC30="","",'TERM 1'!AC30)</f>
        <v/>
      </c>
      <c r="G26" t="str">
        <f>IF('TERM 2'!AC30="","",'TERM 2'!AC30)</f>
        <v/>
      </c>
      <c r="H26" t="str">
        <f>IF('TERM 3'!AC30="","",'TERM 3'!AC30)</f>
        <v/>
      </c>
      <c r="I26" s="1" t="str">
        <f>IF(COUNT(F26,G26,H26)&lt;3,"",ROUND(AVERAGE(F26,G26,H26),0))</f>
        <v/>
      </c>
      <c r="J26" t="str">
        <f t="array" ref="J26">IF(I26="","",IFERROR(INDEX(HELPER!$G$8:$G$48,MATCH(I26,HELPER!$F$8:$F$48,-1)),""))</f>
        <v/>
      </c>
      <c r="K26" t="str" xml:space="preserve">
        <f xml:space="preserve">IF(I26="", "", IF(I26&gt;=75, "Passed", "Failed"))
</f>
        <v/>
      </c>
    </row>
    <row r="27" ht="15" customHeight="1" xml:space="preserve">
      <c r="B27">
        <v>14</v>
      </c>
      <c r="C27" t="str">
        <f>IF('INPUT DATA'!K24="","",'INPUT DATA'!K24)</f>
        <v/>
      </c>
      <c r="F27" t="str">
        <f>IF('TERM 1'!AC31="","",'TERM 1'!AC31)</f>
        <v/>
      </c>
      <c r="G27" t="str">
        <f>IF('TERM 2'!AC31="","",'TERM 2'!AC31)</f>
        <v/>
      </c>
      <c r="H27" t="str">
        <f>IF('TERM 3'!AC31="","",'TERM 3'!AC31)</f>
        <v/>
      </c>
      <c r="I27" s="1" t="str">
        <f>IF(COUNT(F27,G27,H27)&lt;3,"",ROUND(AVERAGE(F27,G27,H27),0))</f>
        <v/>
      </c>
      <c r="J27" t="str">
        <f t="array" ref="J27">IF(I27="","",IFERROR(INDEX(HELPER!$G$8:$G$48,MATCH(I27,HELPER!$F$8:$F$48,-1)),""))</f>
        <v/>
      </c>
      <c r="K27" t="str" xml:space="preserve">
        <f xml:space="preserve">IF(I27="", "", IF(I27&gt;=75, "Passed", "Failed"))
</f>
        <v/>
      </c>
    </row>
    <row r="28" ht="15" customHeight="1" xml:space="preserve">
      <c r="B28">
        <v>15</v>
      </c>
      <c r="C28" t="str">
        <f>IF('INPUT DATA'!K25="","",'INPUT DATA'!K25)</f>
        <v/>
      </c>
      <c r="F28" t="str">
        <f>IF('TERM 1'!AC32="","",'TERM 1'!AC32)</f>
        <v/>
      </c>
      <c r="G28" t="str">
        <f>IF('TERM 2'!AC32="","",'TERM 2'!AC32)</f>
        <v/>
      </c>
      <c r="H28" t="str">
        <f>IF('TERM 3'!AC32="","",'TERM 3'!AC32)</f>
        <v/>
      </c>
      <c r="I28" s="1" t="str">
        <f>IF(COUNT(F28,G28,H28)&lt;3,"",ROUND(AVERAGE(F28,G28,H28),0))</f>
        <v/>
      </c>
      <c r="J28" t="str">
        <f t="array" ref="J28">IF(I28="","",IFERROR(INDEX(HELPER!$G$8:$G$48,MATCH(I28,HELPER!$F$8:$F$48,-1)),""))</f>
        <v/>
      </c>
      <c r="K28" t="str" xml:space="preserve">
        <f xml:space="preserve">IF(I28="", "", IF(I28&gt;=75, "Passed", "Failed"))
</f>
        <v/>
      </c>
    </row>
    <row r="29" ht="15" customHeight="1" xml:space="preserve">
      <c r="B29">
        <v>16</v>
      </c>
      <c r="C29" t="str">
        <f>IF('INPUT DATA'!K26="","",'INPUT DATA'!K26)</f>
        <v/>
      </c>
      <c r="F29" t="str">
        <f>IF('TERM 1'!AC33="","",'TERM 1'!AC33)</f>
        <v/>
      </c>
      <c r="G29" t="str">
        <f>IF('TERM 2'!AC33="","",'TERM 2'!AC33)</f>
        <v/>
      </c>
      <c r="H29" t="str">
        <f>IF('TERM 3'!AC33="","",'TERM 3'!AC33)</f>
        <v/>
      </c>
      <c r="I29" s="1" t="str">
        <f>IF(COUNT(F29,G29,H29)&lt;3,"",ROUND(AVERAGE(F29,G29,H29),0))</f>
        <v/>
      </c>
      <c r="J29" t="str">
        <f t="array" ref="J29">IF(I29="","",IFERROR(INDEX(HELPER!$G$8:$G$48,MATCH(I29,HELPER!$F$8:$F$48,-1)),""))</f>
        <v/>
      </c>
      <c r="K29" t="str" xml:space="preserve">
        <f xml:space="preserve">IF(I29="", "", IF(I29&gt;=75, "Passed", "Failed"))
</f>
        <v/>
      </c>
    </row>
    <row r="30" ht="15" customHeight="1" xml:space="preserve">
      <c r="B30">
        <v>17</v>
      </c>
      <c r="C30" t="str">
        <f>IF('INPUT DATA'!K27="","",'INPUT DATA'!K27)</f>
        <v/>
      </c>
      <c r="F30" t="str">
        <f>IF('TERM 1'!AC34="","",'TERM 1'!AC34)</f>
        <v/>
      </c>
      <c r="G30" t="str">
        <f>IF('TERM 2'!AC34="","",'TERM 2'!AC34)</f>
        <v/>
      </c>
      <c r="H30" t="str">
        <f>IF('TERM 3'!AC34="","",'TERM 3'!AC34)</f>
        <v/>
      </c>
      <c r="I30" s="1" t="str">
        <f>IF(COUNT(F30,G30,H30)&lt;3,"",ROUND(AVERAGE(F30,G30,H30),0))</f>
        <v/>
      </c>
      <c r="J30" t="str">
        <f t="array" ref="J30">IF(I30="","",IFERROR(INDEX(HELPER!$G$8:$G$48,MATCH(I30,HELPER!$F$8:$F$48,-1)),""))</f>
        <v/>
      </c>
      <c r="K30" t="str" xml:space="preserve">
        <f xml:space="preserve">IF(I30="", "", IF(I30&gt;=75, "Passed", "Failed"))
</f>
        <v/>
      </c>
    </row>
    <row r="31" ht="15" customHeight="1" xml:space="preserve">
      <c r="B31">
        <v>18</v>
      </c>
      <c r="C31" t="str">
        <f>IF('INPUT DATA'!K28="","",'INPUT DATA'!K28)</f>
        <v/>
      </c>
      <c r="F31" t="str">
        <f>IF('TERM 1'!AC35="","",'TERM 1'!AC35)</f>
        <v/>
      </c>
      <c r="G31" t="str">
        <f>IF('TERM 2'!AC35="","",'TERM 2'!AC35)</f>
        <v/>
      </c>
      <c r="H31" t="str">
        <f>IF('TERM 3'!AC35="","",'TERM 3'!AC35)</f>
        <v/>
      </c>
      <c r="I31" s="1" t="str">
        <f>IF(COUNT(F31,G31,H31)&lt;3,"",ROUND(AVERAGE(F31,G31,H31),0))</f>
        <v/>
      </c>
      <c r="J31" t="str">
        <f t="array" ref="J31">IF(I31="","",IFERROR(INDEX(HELPER!$G$8:$G$48,MATCH(I31,HELPER!$F$8:$F$48,-1)),""))</f>
        <v/>
      </c>
      <c r="K31" t="str" xml:space="preserve">
        <f xml:space="preserve">IF(I31="", "", IF(I31&gt;=75, "Passed", "Failed"))
</f>
        <v/>
      </c>
    </row>
    <row r="32" ht="15" customHeight="1" xml:space="preserve">
      <c r="B32">
        <v>19</v>
      </c>
      <c r="C32" t="str">
        <f>IF('INPUT DATA'!K29="","",'INPUT DATA'!K29)</f>
        <v/>
      </c>
      <c r="F32" t="str">
        <f>IF('TERM 1'!AC36="","",'TERM 1'!AC36)</f>
        <v/>
      </c>
      <c r="G32" t="str">
        <f>IF('TERM 2'!AC36="","",'TERM 2'!AC36)</f>
        <v/>
      </c>
      <c r="H32" t="str">
        <f>IF('TERM 3'!AC36="","",'TERM 3'!AC36)</f>
        <v/>
      </c>
      <c r="I32" s="1" t="str">
        <f>IF(COUNT(F32,G32,H32)&lt;3,"",ROUND(AVERAGE(F32,G32,H32),0))</f>
        <v/>
      </c>
      <c r="J32" t="str">
        <f t="array" ref="J32">IF(I32="","",IFERROR(INDEX(HELPER!$G$8:$G$48,MATCH(I32,HELPER!$F$8:$F$48,-1)),""))</f>
        <v/>
      </c>
      <c r="K32" t="str" xml:space="preserve">
        <f xml:space="preserve">IF(I32="", "", IF(I32&gt;=75, "Passed", "Failed"))
</f>
        <v/>
      </c>
    </row>
    <row r="33" ht="15" customHeight="1" xml:space="preserve">
      <c r="B33">
        <v>20</v>
      </c>
      <c r="C33" t="str">
        <f>IF('INPUT DATA'!K30="","",'INPUT DATA'!K30)</f>
        <v/>
      </c>
      <c r="F33" t="str">
        <f>IF('TERM 1'!AC37="","",'TERM 1'!AC37)</f>
        <v/>
      </c>
      <c r="G33" t="str">
        <f>IF('TERM 2'!AC37="","",'TERM 2'!AC37)</f>
        <v/>
      </c>
      <c r="H33" t="str">
        <f>IF('TERM 3'!AC37="","",'TERM 3'!AC37)</f>
        <v/>
      </c>
      <c r="I33" s="1" t="str">
        <f>IF(COUNT(F33,G33,H33)&lt;3,"",ROUND(AVERAGE(F33,G33,H33),0))</f>
        <v/>
      </c>
      <c r="J33" t="str">
        <f t="array" ref="J33">IF(I33="","",IFERROR(INDEX(HELPER!$G$8:$G$48,MATCH(I33,HELPER!$F$8:$F$48,-1)),""))</f>
        <v/>
      </c>
      <c r="K33" t="str" xml:space="preserve">
        <f xml:space="preserve">IF(I33="", "", IF(I33&gt;=75, "Passed", "Failed"))
</f>
        <v/>
      </c>
    </row>
    <row r="34" ht="15" customHeight="1" xml:space="preserve">
      <c r="B34">
        <v>21</v>
      </c>
      <c r="C34" t="str">
        <f>IF('INPUT DATA'!K31="","",'INPUT DATA'!K31)</f>
        <v/>
      </c>
      <c r="F34" t="str">
        <f>IF('TERM 1'!AC38="","",'TERM 1'!AC38)</f>
        <v/>
      </c>
      <c r="G34" t="str">
        <f>IF('TERM 2'!AC38="","",'TERM 2'!AC38)</f>
        <v/>
      </c>
      <c r="H34" t="str">
        <f>IF('TERM 3'!AC38="","",'TERM 3'!AC38)</f>
        <v/>
      </c>
      <c r="I34" s="1" t="str">
        <f>IF(COUNT(F34,G34,H34)&lt;3,"",ROUND(AVERAGE(F34,G34,H34),0))</f>
        <v/>
      </c>
      <c r="J34" t="str">
        <f t="array" ref="J34">IF(I34="","",IFERROR(INDEX(HELPER!$G$8:$G$48,MATCH(I34,HELPER!$F$8:$F$48,-1)),""))</f>
        <v/>
      </c>
      <c r="K34" t="str" xml:space="preserve">
        <f xml:space="preserve">IF(I34="", "", IF(I34&gt;=75, "Passed", "Failed"))
</f>
        <v/>
      </c>
    </row>
    <row r="35" ht="15" customHeight="1" xml:space="preserve">
      <c r="B35">
        <v>22</v>
      </c>
      <c r="C35" t="str">
        <f>IF('INPUT DATA'!K32="","",'INPUT DATA'!K32)</f>
        <v/>
      </c>
      <c r="F35" t="str">
        <f>IF('TERM 1'!AC39="","",'TERM 1'!AC39)</f>
        <v/>
      </c>
      <c r="G35" t="str">
        <f>IF('TERM 2'!AC39="","",'TERM 2'!AC39)</f>
        <v/>
      </c>
      <c r="H35" t="str">
        <f>IF('TERM 3'!AC39="","",'TERM 3'!AC39)</f>
        <v/>
      </c>
      <c r="I35" s="1" t="str">
        <f>IF(COUNT(F35,G35,H35)&lt;3,"",ROUND(AVERAGE(F35,G35,H35),0))</f>
        <v/>
      </c>
      <c r="J35" t="str">
        <f t="array" ref="J35">IF(I35="","",IFERROR(INDEX(HELPER!$G$8:$G$48,MATCH(I35,HELPER!$F$8:$F$48,-1)),""))</f>
        <v/>
      </c>
      <c r="K35" t="str" xml:space="preserve">
        <f xml:space="preserve">IF(I35="", "", IF(I35&gt;=75, "Passed", "Failed"))
</f>
        <v/>
      </c>
    </row>
    <row r="36" ht="15" customHeight="1" xml:space="preserve">
      <c r="B36">
        <v>23</v>
      </c>
      <c r="C36" t="str">
        <f>IF('INPUT DATA'!K33="","",'INPUT DATA'!K33)</f>
        <v/>
      </c>
      <c r="F36" t="str">
        <f>IF('TERM 1'!AC40="","",'TERM 1'!AC40)</f>
        <v/>
      </c>
      <c r="G36" t="str">
        <f>IF('TERM 2'!AC40="","",'TERM 2'!AC40)</f>
        <v/>
      </c>
      <c r="H36" t="str">
        <f>IF('TERM 3'!AC40="","",'TERM 3'!AC40)</f>
        <v/>
      </c>
      <c r="I36" s="1" t="str">
        <f>IF(COUNT(F36,G36,H36)&lt;3,"",ROUND(AVERAGE(F36,G36,H36),0))</f>
        <v/>
      </c>
      <c r="J36" t="str">
        <f t="array" ref="J36">IF(I36="","",IFERROR(INDEX(HELPER!$G$8:$G$48,MATCH(I36,HELPER!$F$8:$F$48,-1)),""))</f>
        <v/>
      </c>
      <c r="K36" t="str" xml:space="preserve">
        <f xml:space="preserve">IF(I36="", "", IF(I36&gt;=75, "Passed", "Failed"))
</f>
        <v/>
      </c>
    </row>
    <row r="37" ht="15" customHeight="1" xml:space="preserve">
      <c r="B37">
        <v>24</v>
      </c>
      <c r="C37" t="str">
        <f>IF('INPUT DATA'!K34="","",'INPUT DATA'!K34)</f>
        <v/>
      </c>
      <c r="F37" t="str">
        <f>IF('TERM 1'!AC41="","",'TERM 1'!AC41)</f>
        <v/>
      </c>
      <c r="G37" t="str">
        <f>IF('TERM 2'!AC41="","",'TERM 2'!AC41)</f>
        <v/>
      </c>
      <c r="H37" t="str">
        <f>IF('TERM 3'!AC41="","",'TERM 3'!AC41)</f>
        <v/>
      </c>
      <c r="I37" s="1" t="str">
        <f>IF(COUNT(F37,G37,H37)&lt;3,"",ROUND(AVERAGE(F37,G37,H37),0))</f>
        <v/>
      </c>
      <c r="J37" t="str">
        <f t="array" ref="J37">IF(I37="","",IFERROR(INDEX(HELPER!$G$8:$G$48,MATCH(I37,HELPER!$F$8:$F$48,-1)),""))</f>
        <v/>
      </c>
      <c r="K37" t="str" xml:space="preserve">
        <f xml:space="preserve">IF(I37="", "", IF(I37&gt;=75, "Passed", "Failed"))
</f>
        <v/>
      </c>
    </row>
    <row r="38" ht="15" customHeight="1" xml:space="preserve">
      <c r="B38">
        <v>25</v>
      </c>
      <c r="C38" t="str">
        <f>IF('INPUT DATA'!K35="","",'INPUT DATA'!K35)</f>
        <v/>
      </c>
      <c r="F38" t="str">
        <f>IF('TERM 1'!AC42="","",'TERM 1'!AC42)</f>
        <v/>
      </c>
      <c r="G38" t="str">
        <f>IF('TERM 2'!AC42="","",'TERM 2'!AC42)</f>
        <v/>
      </c>
      <c r="H38" t="str">
        <f>IF('TERM 3'!AC42="","",'TERM 3'!AC42)</f>
        <v/>
      </c>
      <c r="I38" s="1" t="str">
        <f>IF(COUNT(F38,G38,H38)&lt;3,"",ROUND(AVERAGE(F38,G38,H38),0))</f>
        <v/>
      </c>
      <c r="J38" t="str">
        <f t="array" ref="J38">IF(I38="","",IFERROR(INDEX(HELPER!$G$8:$G$48,MATCH(I38,HELPER!$F$8:$F$48,-1)),""))</f>
        <v/>
      </c>
      <c r="K38" t="str" xml:space="preserve">
        <f xml:space="preserve">IF(I38="", "", IF(I38&gt;=75, "Passed", "Failed"))
</f>
        <v/>
      </c>
    </row>
    <row r="39" ht="15" customHeight="1" xml:space="preserve">
      <c r="B39">
        <v>26</v>
      </c>
      <c r="C39" t="str">
        <f>IF('INPUT DATA'!K36="","",'INPUT DATA'!K36)</f>
        <v/>
      </c>
      <c r="F39" t="str">
        <f>IF('TERM 1'!AC43="","",'TERM 1'!AC43)</f>
        <v/>
      </c>
      <c r="G39" t="str">
        <f>IF('TERM 2'!AC43="","",'TERM 2'!AC43)</f>
        <v/>
      </c>
      <c r="H39" t="str">
        <f>IF('TERM 3'!AC43="","",'TERM 3'!AC43)</f>
        <v/>
      </c>
      <c r="I39" s="1" t="str">
        <f>IF(COUNT(F39,G39,H39)&lt;3,"",ROUND(AVERAGE(F39,G39,H39),0))</f>
        <v/>
      </c>
      <c r="J39" t="str">
        <f t="array" ref="J39">IF(I39="","",IFERROR(INDEX(HELPER!$G$8:$G$48,MATCH(I39,HELPER!$F$8:$F$48,-1)),""))</f>
        <v/>
      </c>
      <c r="K39" t="str" xml:space="preserve">
        <f xml:space="preserve">IF(I39="", "", IF(I39&gt;=75, "Passed", "Failed"))
</f>
        <v/>
      </c>
    </row>
    <row r="40" ht="15" customHeight="1" xml:space="preserve">
      <c r="B40">
        <v>27</v>
      </c>
      <c r="C40" t="str">
        <f>IF('INPUT DATA'!K37="","",'INPUT DATA'!K37)</f>
        <v/>
      </c>
      <c r="F40" t="str">
        <f>IF('TERM 1'!AC44="","",'TERM 1'!AC44)</f>
        <v/>
      </c>
      <c r="G40" t="str">
        <f>IF('TERM 2'!AC44="","",'TERM 2'!AC44)</f>
        <v/>
      </c>
      <c r="H40" t="str">
        <f>IF('TERM 3'!AC44="","",'TERM 3'!AC44)</f>
        <v/>
      </c>
      <c r="I40" s="1" t="str">
        <f>IF(COUNT(F40,G40,H40)&lt;3,"",ROUND(AVERAGE(F40,G40,H40),0))</f>
        <v/>
      </c>
      <c r="J40" t="str">
        <f t="array" ref="J40">IF(I40="","",IFERROR(INDEX(HELPER!$G$8:$G$48,MATCH(I40,HELPER!$F$8:$F$48,-1)),""))</f>
        <v/>
      </c>
      <c r="K40" t="str" xml:space="preserve">
        <f xml:space="preserve">IF(I40="", "", IF(I40&gt;=75, "Passed", "Failed"))
</f>
        <v/>
      </c>
    </row>
    <row r="41" ht="15" customHeight="1" xml:space="preserve">
      <c r="B41">
        <v>28</v>
      </c>
      <c r="C41" t="str">
        <f>IF('INPUT DATA'!K38="","",'INPUT DATA'!K38)</f>
        <v/>
      </c>
      <c r="F41" t="str">
        <f>IF('TERM 1'!AC45="","",'TERM 1'!AC45)</f>
        <v/>
      </c>
      <c r="G41" t="str">
        <f>IF('TERM 2'!AC45="","",'TERM 2'!AC45)</f>
        <v/>
      </c>
      <c r="H41" t="str">
        <f>IF('TERM 3'!AC45="","",'TERM 3'!AC45)</f>
        <v/>
      </c>
      <c r="I41" s="1" t="str">
        <f>IF(COUNT(F41,G41,H41)&lt;3,"",ROUND(AVERAGE(F41,G41,H41),0))</f>
        <v/>
      </c>
      <c r="J41" t="str">
        <f t="array" ref="J41">IF(I41="","",IFERROR(INDEX(HELPER!$G$8:$G$48,MATCH(I41,HELPER!$F$8:$F$48,-1)),""))</f>
        <v/>
      </c>
      <c r="K41" t="str" xml:space="preserve">
        <f xml:space="preserve">IF(I41="", "", IF(I41&gt;=75, "Passed", "Failed"))
</f>
        <v/>
      </c>
    </row>
    <row r="42" ht="15" customHeight="1" xml:space="preserve">
      <c r="B42">
        <v>29</v>
      </c>
      <c r="C42" t="str">
        <f>IF('INPUT DATA'!K39="","",'INPUT DATA'!K39)</f>
        <v/>
      </c>
      <c r="F42" t="str">
        <f>IF('TERM 1'!AC46="","",'TERM 1'!AC46)</f>
        <v/>
      </c>
      <c r="G42" t="str">
        <f>IF('TERM 2'!AC46="","",'TERM 2'!AC46)</f>
        <v/>
      </c>
      <c r="H42" t="str">
        <f>IF('TERM 3'!AC46="","",'TERM 3'!AC46)</f>
        <v/>
      </c>
      <c r="I42" s="1" t="str">
        <f>IF(COUNT(F42,G42,H42)&lt;3,"",ROUND(AVERAGE(F42,G42,H42),0))</f>
        <v/>
      </c>
      <c r="J42" t="str">
        <f t="array" ref="J42">IF(I42="","",IFERROR(INDEX(HELPER!$G$8:$G$48,MATCH(I42,HELPER!$F$8:$F$48,-1)),""))</f>
        <v/>
      </c>
      <c r="K42" t="str" xml:space="preserve">
        <f xml:space="preserve">IF(I42="", "", IF(I42&gt;=75, "Passed", "Failed"))
</f>
        <v/>
      </c>
    </row>
    <row r="43" ht="15" customHeight="1" xml:space="preserve">
      <c r="B43">
        <v>30</v>
      </c>
      <c r="C43" t="str">
        <f>IF('INPUT DATA'!K40="","",'INPUT DATA'!K40)</f>
        <v/>
      </c>
      <c r="F43" t="str">
        <f>IF('TERM 1'!AC47="","",'TERM 1'!AC47)</f>
        <v/>
      </c>
      <c r="G43" t="str">
        <f>IF('TERM 2'!AC47="","",'TERM 2'!AC47)</f>
        <v/>
      </c>
      <c r="H43" t="str">
        <f>IF('TERM 3'!AC47="","",'TERM 3'!AC47)</f>
        <v/>
      </c>
      <c r="I43" s="1" t="str">
        <f>IF(COUNT(F43,G43,H43)&lt;3,"",ROUND(AVERAGE(F43,G43,H43),0))</f>
        <v/>
      </c>
      <c r="J43" t="str">
        <f t="array" ref="J43">IF(I43="","",IFERROR(INDEX(HELPER!$G$8:$G$48,MATCH(I43,HELPER!$F$8:$F$48,-1)),""))</f>
        <v/>
      </c>
      <c r="K43" t="str" xml:space="preserve">
        <f xml:space="preserve">IF(I43="", "", IF(I43&gt;=75, "Passed", "Failed"))
</f>
        <v/>
      </c>
    </row>
    <row r="44" ht="15" customHeight="1" xml:space="preserve">
      <c r="B44">
        <v>31</v>
      </c>
      <c r="C44" t="str">
        <f>IF('INPUT DATA'!K41="","",'INPUT DATA'!K41)</f>
        <v/>
      </c>
      <c r="F44" t="str">
        <f>IF('TERM 1'!AC48="","",'TERM 1'!AC48)</f>
        <v/>
      </c>
      <c r="G44" t="str">
        <f>IF('TERM 2'!AC48="","",'TERM 2'!AC48)</f>
        <v/>
      </c>
      <c r="H44" t="str">
        <f>IF('TERM 3'!AC48="","",'TERM 3'!AC48)</f>
        <v/>
      </c>
      <c r="I44" s="1" t="str">
        <f>IF(COUNT(F44,G44,H44)&lt;3,"",ROUND(AVERAGE(F44,G44,H44),0))</f>
        <v/>
      </c>
      <c r="J44" t="str">
        <f t="array" ref="J44">IF(I44="","",IFERROR(INDEX(HELPER!$G$8:$G$48,MATCH(I44,HELPER!$F$8:$F$48,-1)),""))</f>
        <v/>
      </c>
      <c r="K44" t="str" xml:space="preserve">
        <f xml:space="preserve">IF(I44="", "", IF(I44&gt;=75, "Passed", "Failed"))
</f>
        <v/>
      </c>
    </row>
    <row r="45" ht="15" customHeight="1" xml:space="preserve">
      <c r="B45">
        <v>32</v>
      </c>
      <c r="C45" t="str">
        <f>IF('INPUT DATA'!K42="","",'INPUT DATA'!K42)</f>
        <v/>
      </c>
      <c r="F45" t="str">
        <f>IF('TERM 1'!AC49="","",'TERM 1'!AC49)</f>
        <v/>
      </c>
      <c r="G45" t="str">
        <f>IF('TERM 2'!AC49="","",'TERM 2'!AC49)</f>
        <v/>
      </c>
      <c r="H45" t="str">
        <f>IF('TERM 3'!AC49="","",'TERM 3'!AC49)</f>
        <v/>
      </c>
      <c r="I45" s="1" t="str">
        <f>IF(COUNT(F45,G45,H45)&lt;3,"",ROUND(AVERAGE(F45,G45,H45),0))</f>
        <v/>
      </c>
      <c r="J45" t="str">
        <f t="array" ref="J45">IF(I45="","",IFERROR(INDEX(HELPER!$G$8:$G$48,MATCH(I45,HELPER!$F$8:$F$48,-1)),""))</f>
        <v/>
      </c>
      <c r="K45" t="str" xml:space="preserve">
        <f xml:space="preserve">IF(I45="", "", IF(I45&gt;=75, "Passed", "Failed"))
</f>
        <v/>
      </c>
    </row>
    <row r="46" ht="15" customHeight="1" xml:space="preserve">
      <c r="B46">
        <v>33</v>
      </c>
      <c r="C46" t="str">
        <f>IF('INPUT DATA'!K43="","",'INPUT DATA'!K43)</f>
        <v/>
      </c>
      <c r="F46" t="str">
        <f>IF('TERM 1'!AC50="","",'TERM 1'!AC50)</f>
        <v/>
      </c>
      <c r="G46" t="str">
        <f>IF('TERM 2'!AC50="","",'TERM 2'!AC50)</f>
        <v/>
      </c>
      <c r="H46" t="str">
        <f>IF('TERM 3'!AC50="","",'TERM 3'!AC50)</f>
        <v/>
      </c>
      <c r="I46" s="1" t="str">
        <f>IF(COUNT(F46,G46,H46)&lt;3,"",ROUND(AVERAGE(F46,G46,H46),0))</f>
        <v/>
      </c>
      <c r="J46" t="str">
        <f t="array" ref="J46">IF(I46="","",IFERROR(INDEX(HELPER!$G$8:$G$48,MATCH(I46,HELPER!$F$8:$F$48,-1)),""))</f>
        <v/>
      </c>
      <c r="K46" t="str" xml:space="preserve">
        <f xml:space="preserve">IF(I46="", "", IF(I46&gt;=75, "Passed", "Failed"))
</f>
        <v/>
      </c>
    </row>
    <row r="47" ht="15" customHeight="1" xml:space="preserve">
      <c r="B47">
        <v>34</v>
      </c>
      <c r="C47" t="str">
        <f>IF('INPUT DATA'!K44="","",'INPUT DATA'!K44)</f>
        <v/>
      </c>
      <c r="F47" t="str">
        <f>IF('TERM 1'!AC51="","",'TERM 1'!AC51)</f>
        <v/>
      </c>
      <c r="G47" t="str">
        <f>IF('TERM 2'!AC51="","",'TERM 2'!AC51)</f>
        <v/>
      </c>
      <c r="H47" t="str">
        <f>IF('TERM 3'!AC51="","",'TERM 3'!AC51)</f>
        <v/>
      </c>
      <c r="I47" s="1" t="str">
        <f>IF(COUNT(F47,G47,H47)&lt;3,"",ROUND(AVERAGE(F47,G47,H47),0))</f>
        <v/>
      </c>
      <c r="J47" t="str">
        <f t="array" ref="J47">IF(I47="","",IFERROR(INDEX(HELPER!$G$8:$G$48,MATCH(I47,HELPER!$F$8:$F$48,-1)),""))</f>
        <v/>
      </c>
      <c r="K47" t="str" xml:space="preserve">
        <f xml:space="preserve">IF(I47="", "", IF(I47&gt;=75, "Passed", "Failed"))
</f>
        <v/>
      </c>
    </row>
    <row r="48" ht="15" customHeight="1" xml:space="preserve">
      <c r="B48">
        <v>35</v>
      </c>
      <c r="C48" t="str">
        <f>IF('INPUT DATA'!K45="","",'INPUT DATA'!K45)</f>
        <v/>
      </c>
      <c r="F48" t="str">
        <f>IF('TERM 1'!AC52="","",'TERM 1'!AC52)</f>
        <v/>
      </c>
      <c r="G48" t="str">
        <f>IF('TERM 2'!AC52="","",'TERM 2'!AC52)</f>
        <v/>
      </c>
      <c r="H48" t="str">
        <f>IF('TERM 3'!AC52="","",'TERM 3'!AC52)</f>
        <v/>
      </c>
      <c r="I48" s="1" t="str">
        <f>IF(COUNT(F48,G48,H48)&lt;3,"",ROUND(AVERAGE(F48,G48,H48),0))</f>
        <v/>
      </c>
      <c r="J48" t="str">
        <f t="array" ref="J48">IF(I48="","",IFERROR(INDEX(HELPER!$G$8:$G$48,MATCH(I48,HELPER!$F$8:$F$48,-1)),""))</f>
        <v/>
      </c>
      <c r="K48" t="str" xml:space="preserve">
        <f xml:space="preserve">IF(I48="", "", IF(I48&gt;=75, "Passed", "Failed"))
</f>
        <v/>
      </c>
    </row>
    <row r="49" ht="15" customHeight="1" xml:space="preserve">
      <c r="B49">
        <v>36</v>
      </c>
      <c r="C49" t="str">
        <f>IF('INPUT DATA'!K46="","",'INPUT DATA'!K46)</f>
        <v/>
      </c>
      <c r="F49" t="str">
        <f>IF('TERM 1'!AC53="","",'TERM 1'!AC53)</f>
        <v/>
      </c>
      <c r="G49" t="str">
        <f>IF('TERM 2'!AC53="","",'TERM 2'!AC53)</f>
        <v/>
      </c>
      <c r="H49" t="str">
        <f>IF('TERM 3'!AC53="","",'TERM 3'!AC53)</f>
        <v/>
      </c>
      <c r="I49" s="1" t="str">
        <f>IF(COUNT(F49,G49,H49)&lt;3,"",ROUND(AVERAGE(F49,G49,H49),0))</f>
        <v/>
      </c>
      <c r="J49" t="str">
        <f t="array" ref="J49">IF(I49="","",IFERROR(INDEX(HELPER!$G$8:$G$48,MATCH(I49,HELPER!$F$8:$F$48,-1)),""))</f>
        <v/>
      </c>
      <c r="K49" t="str" xml:space="preserve">
        <f xml:space="preserve">IF(I49="", "", IF(I49&gt;=75, "Passed", "Failed"))
</f>
        <v/>
      </c>
    </row>
    <row r="50" ht="15" customHeight="1" xml:space="preserve">
      <c r="B50">
        <v>37</v>
      </c>
      <c r="C50" t="str">
        <f>IF('INPUT DATA'!K47="","",'INPUT DATA'!K47)</f>
        <v/>
      </c>
      <c r="F50" t="str">
        <f>IF('TERM 1'!AC54="","",'TERM 1'!AC54)</f>
        <v/>
      </c>
      <c r="G50" t="str">
        <f>IF('TERM 2'!AC54="","",'TERM 2'!AC54)</f>
        <v/>
      </c>
      <c r="H50" t="str">
        <f>IF('TERM 3'!AC54="","",'TERM 3'!AC54)</f>
        <v/>
      </c>
      <c r="I50" s="1" t="str">
        <f>IF(COUNT(F50,G50,H50)&lt;3,"",ROUND(AVERAGE(F50,G50,H50),0))</f>
        <v/>
      </c>
      <c r="J50" t="str">
        <f t="array" ref="J50">IF(I50="","",IFERROR(INDEX(HELPER!$G$8:$G$48,MATCH(I50,HELPER!$F$8:$F$48,-1)),""))</f>
        <v/>
      </c>
      <c r="K50" t="str" xml:space="preserve">
        <f xml:space="preserve">IF(I50="", "", IF(I50&gt;=75, "Passed", "Failed"))
</f>
        <v/>
      </c>
    </row>
    <row r="51" ht="15" customHeight="1" xml:space="preserve">
      <c r="B51">
        <v>38</v>
      </c>
      <c r="C51" t="str">
        <f>IF('INPUT DATA'!K48="","",'INPUT DATA'!K48)</f>
        <v/>
      </c>
      <c r="F51" t="str">
        <f>IF('TERM 1'!AC55="","",'TERM 1'!AC55)</f>
        <v/>
      </c>
      <c r="G51" t="str">
        <f>IF('TERM 2'!AC55="","",'TERM 2'!AC55)</f>
        <v/>
      </c>
      <c r="H51" t="str">
        <f>IF('TERM 3'!AC55="","",'TERM 3'!AC55)</f>
        <v/>
      </c>
      <c r="I51" s="1" t="str">
        <f>IF(COUNT(F51,G51,H51)&lt;3,"",ROUND(AVERAGE(F51,G51,H51),0))</f>
        <v/>
      </c>
      <c r="J51" t="str">
        <f t="array" ref="J51">IF(I51="","",IFERROR(INDEX(HELPER!$G$8:$G$48,MATCH(I51,HELPER!$F$8:$F$48,-1)),""))</f>
        <v/>
      </c>
      <c r="K51" t="str" xml:space="preserve">
        <f xml:space="preserve">IF(I51="", "", IF(I51&gt;=75, "Passed", "Failed"))
</f>
        <v/>
      </c>
    </row>
    <row r="52" ht="15" customHeight="1" xml:space="preserve">
      <c r="B52">
        <v>39</v>
      </c>
      <c r="C52" t="str">
        <f>IF('INPUT DATA'!K49="","",'INPUT DATA'!K49)</f>
        <v/>
      </c>
      <c r="F52" t="str">
        <f>IF('TERM 1'!AC56="","",'TERM 1'!AC56)</f>
        <v/>
      </c>
      <c r="G52" t="str">
        <f>IF('TERM 2'!AC56="","",'TERM 2'!AC56)</f>
        <v/>
      </c>
      <c r="H52" t="str">
        <f>IF('TERM 3'!AC56="","",'TERM 3'!AC56)</f>
        <v/>
      </c>
      <c r="I52" s="1" t="str">
        <f>IF(COUNT(F52,G52,H52)&lt;3,"",ROUND(AVERAGE(F52,G52,H52),0))</f>
        <v/>
      </c>
      <c r="J52" t="str">
        <f t="array" ref="J52">IF(I52="","",IFERROR(INDEX(HELPER!$G$8:$G$48,MATCH(I52,HELPER!$F$8:$F$48,-1)),""))</f>
        <v/>
      </c>
      <c r="K52" t="str" xml:space="preserve">
        <f xml:space="preserve">IF(I52="", "", IF(I52&gt;=75, "Passed", "Failed"))
</f>
        <v/>
      </c>
    </row>
    <row r="53" ht="15" customHeight="1" xml:space="preserve">
      <c r="B53">
        <v>40</v>
      </c>
      <c r="C53" t="str">
        <f>IF('INPUT DATA'!K50="","",'INPUT DATA'!K50)</f>
        <v/>
      </c>
      <c r="F53" t="str">
        <f>IF('TERM 1'!AC57="","",'TERM 1'!AC57)</f>
        <v/>
      </c>
      <c r="G53" t="str">
        <f>IF('TERM 2'!AC57="","",'TERM 2'!AC57)</f>
        <v/>
      </c>
      <c r="H53" t="str">
        <f>IF('TERM 3'!AC57="","",'TERM 3'!AC57)</f>
        <v/>
      </c>
      <c r="I53" s="1" t="str">
        <f>IF(COUNT(F53,G53,H53)&lt;3,"",ROUND(AVERAGE(F53,G53,H53),0))</f>
        <v/>
      </c>
      <c r="J53" t="str">
        <f t="array" ref="J53">IF(I53="","",IFERROR(INDEX(HELPER!$G$8:$G$48,MATCH(I53,HELPER!$F$8:$F$48,-1)),""))</f>
        <v/>
      </c>
      <c r="K53" t="str" xml:space="preserve">
        <f xml:space="preserve">IF(I53="", "", IF(I53&gt;=75, "Passed", "Failed"))
</f>
        <v/>
      </c>
    </row>
    <row r="54" ht="15" customHeight="1" xml:space="preserve">
      <c r="B54">
        <v>41</v>
      </c>
      <c r="C54" t="str">
        <f>IF('INPUT DATA'!K51="","",'INPUT DATA'!K51)</f>
        <v/>
      </c>
      <c r="F54" t="str">
        <f>IF('TERM 1'!AC58="","",'TERM 1'!AC58)</f>
        <v/>
      </c>
      <c r="G54" t="str">
        <f>IF('TERM 2'!AC58="","",'TERM 2'!AC58)</f>
        <v/>
      </c>
      <c r="H54" t="str">
        <f>IF('TERM 3'!AC58="","",'TERM 3'!AC58)</f>
        <v/>
      </c>
      <c r="I54" s="1" t="str">
        <f>IF(COUNT(F54,G54,H54)&lt;3,"",ROUND(AVERAGE(F54,G54,H54),0))</f>
        <v/>
      </c>
      <c r="J54" t="str">
        <f t="array" ref="J54">IF(I54="","",IFERROR(INDEX(HELPER!$G$8:$G$48,MATCH(I54,HELPER!$F$8:$F$48,-1)),""))</f>
        <v/>
      </c>
      <c r="K54" t="str" xml:space="preserve">
        <f xml:space="preserve">IF(I54="", "", IF(I54&gt;=75, "Passed", "Failed"))
</f>
        <v/>
      </c>
    </row>
    <row r="55" ht="15" customHeight="1" xml:space="preserve">
      <c r="B55">
        <v>42</v>
      </c>
      <c r="C55" t="str">
        <f>IF('INPUT DATA'!K52="","",'INPUT DATA'!K52)</f>
        <v/>
      </c>
      <c r="F55" t="str">
        <f>IF('TERM 1'!AC59="","",'TERM 1'!AC59)</f>
        <v/>
      </c>
      <c r="G55" t="str">
        <f>IF('TERM 2'!AC59="","",'TERM 2'!AC59)</f>
        <v/>
      </c>
      <c r="H55" t="str">
        <f>IF('TERM 3'!AC59="","",'TERM 3'!AC59)</f>
        <v/>
      </c>
      <c r="I55" s="1" t="str">
        <f>IF(COUNT(F55,G55,H55)&lt;3,"",ROUND(AVERAGE(F55,G55,H55),0))</f>
        <v/>
      </c>
      <c r="J55" t="str">
        <f t="array" ref="J55">IF(I55="","",IFERROR(INDEX(HELPER!$G$8:$G$48,MATCH(I55,HELPER!$F$8:$F$48,-1)),""))</f>
        <v/>
      </c>
      <c r="K55" t="str" xml:space="preserve">
        <f xml:space="preserve">IF(I55="", "", IF(I55&gt;=75, "Passed", "Failed"))
</f>
        <v/>
      </c>
    </row>
    <row r="56" ht="15" customHeight="1" xml:space="preserve">
      <c r="B56">
        <v>43</v>
      </c>
      <c r="C56" t="str">
        <f>IF('INPUT DATA'!K53="","",'INPUT DATA'!K53)</f>
        <v/>
      </c>
      <c r="F56" t="str">
        <f>IF('TERM 1'!AC60="","",'TERM 1'!AC60)</f>
        <v/>
      </c>
      <c r="G56" t="str">
        <f>IF('TERM 2'!AC60="","",'TERM 2'!AC60)</f>
        <v/>
      </c>
      <c r="H56" t="str">
        <f>IF('TERM 3'!AC60="","",'TERM 3'!AC60)</f>
        <v/>
      </c>
      <c r="I56" s="1" t="str">
        <f>IF(COUNT(F56,G56,H56)&lt;3,"",ROUND(AVERAGE(F56,G56,H56),0))</f>
        <v/>
      </c>
      <c r="J56" t="str">
        <f t="array" ref="J56">IF(I56="","",IFERROR(INDEX(HELPER!$G$8:$G$48,MATCH(I56,HELPER!$F$8:$F$48,-1)),""))</f>
        <v/>
      </c>
      <c r="K56" t="str" xml:space="preserve">
        <f xml:space="preserve">IF(I56="", "", IF(I56&gt;=75, "Passed", "Failed"))
</f>
        <v/>
      </c>
    </row>
    <row r="57" ht="15" customHeight="1" xml:space="preserve">
      <c r="B57">
        <v>44</v>
      </c>
      <c r="C57" t="str">
        <f>IF('INPUT DATA'!K54="","",'INPUT DATA'!K54)</f>
        <v/>
      </c>
      <c r="F57" t="str">
        <f>IF('TERM 1'!AC61="","",'TERM 1'!AC61)</f>
        <v/>
      </c>
      <c r="G57" t="str">
        <f>IF('TERM 2'!AC61="","",'TERM 2'!AC61)</f>
        <v/>
      </c>
      <c r="H57" t="str">
        <f>IF('TERM 3'!AC61="","",'TERM 3'!AC61)</f>
        <v/>
      </c>
      <c r="I57" s="1" t="str">
        <f>IF(COUNT(F57,G57,H57)&lt;3,"",ROUND(AVERAGE(F57,G57,H57),0))</f>
        <v/>
      </c>
      <c r="J57" t="str">
        <f t="array" ref="J57">IF(I57="","",IFERROR(INDEX(HELPER!$G$8:$G$48,MATCH(I57,HELPER!$F$8:$F$48,-1)),""))</f>
        <v/>
      </c>
      <c r="K57" t="str" xml:space="preserve">
        <f xml:space="preserve">IF(I57="", "", IF(I57&gt;=75, "Passed", "Failed"))
</f>
        <v/>
      </c>
    </row>
    <row r="58" ht="15" customHeight="1" xml:space="preserve">
      <c r="B58">
        <v>45</v>
      </c>
      <c r="C58" t="str">
        <f>IF('INPUT DATA'!K55="","",'INPUT DATA'!K55)</f>
        <v/>
      </c>
      <c r="F58" t="str">
        <f>IF('TERM 1'!AC62="","",'TERM 1'!AC62)</f>
        <v/>
      </c>
      <c r="G58" t="str">
        <f>IF('TERM 2'!AC62="","",'TERM 2'!AC62)</f>
        <v/>
      </c>
      <c r="H58" t="str">
        <f>IF('TERM 3'!AC62="","",'TERM 3'!AC62)</f>
        <v/>
      </c>
      <c r="I58" s="1" t="str">
        <f>IF(COUNT(F58,G58,H58)&lt;3,"",ROUND(AVERAGE(F58,G58,H58),0))</f>
        <v/>
      </c>
      <c r="J58" t="str">
        <f t="array" ref="J58">IF(I58="","",IFERROR(INDEX(HELPER!$G$8:$G$48,MATCH(I58,HELPER!$F$8:$F$48,-1)),""))</f>
        <v/>
      </c>
      <c r="K58" t="str" xml:space="preserve">
        <f xml:space="preserve">IF(I58="", "", IF(I58&gt;=75, "Passed", "Failed"))
</f>
        <v/>
      </c>
    </row>
    <row r="59" ht="15" customHeight="1" xml:space="preserve">
      <c r="B59">
        <v>46</v>
      </c>
      <c r="C59" t="str">
        <f>IF('INPUT DATA'!K56="","",'INPUT DATA'!K56)</f>
        <v/>
      </c>
      <c r="F59" t="str">
        <f>IF('TERM 1'!AC63="","",'TERM 1'!AC63)</f>
        <v/>
      </c>
      <c r="G59" t="str">
        <f>IF('TERM 2'!AC63="","",'TERM 2'!AC63)</f>
        <v/>
      </c>
      <c r="H59" t="str">
        <f>IF('TERM 3'!AC63="","",'TERM 3'!AC63)</f>
        <v/>
      </c>
      <c r="I59" s="1" t="str">
        <f>IF(COUNT(F59,G59,H59)&lt;3,"",ROUND(AVERAGE(F59,G59,H59),0))</f>
        <v/>
      </c>
      <c r="J59" t="str">
        <f t="array" ref="J59">IF(I59="","",IFERROR(INDEX(HELPER!$G$8:$G$48,MATCH(I59,HELPER!$F$8:$F$48,-1)),""))</f>
        <v/>
      </c>
      <c r="K59" t="str" xml:space="preserve">
        <f xml:space="preserve">IF(I59="", "", IF(I59&gt;=75, "Passed", "Failed"))
</f>
        <v/>
      </c>
    </row>
    <row r="60" ht="15" customHeight="1" xml:space="preserve">
      <c r="B60">
        <v>47</v>
      </c>
      <c r="C60" t="str">
        <f>IF('INPUT DATA'!K57="","",'INPUT DATA'!K57)</f>
        <v/>
      </c>
      <c r="F60" t="str">
        <f>IF('TERM 1'!AC64="","",'TERM 1'!AC64)</f>
        <v/>
      </c>
      <c r="G60" t="str">
        <f>IF('TERM 2'!AC64="","",'TERM 2'!AC64)</f>
        <v/>
      </c>
      <c r="H60" t="str">
        <f>IF('TERM 3'!AC64="","",'TERM 3'!AC64)</f>
        <v/>
      </c>
      <c r="I60" s="1" t="str">
        <f>IF(COUNT(F60,G60,H60)&lt;3,"",ROUND(AVERAGE(F60,G60,H60),0))</f>
        <v/>
      </c>
      <c r="J60" t="str">
        <f t="array" ref="J60">IF(I60="","",IFERROR(INDEX(HELPER!$G$8:$G$48,MATCH(I60,HELPER!$F$8:$F$48,-1)),""))</f>
        <v/>
      </c>
      <c r="K60" t="str" xml:space="preserve">
        <f xml:space="preserve">IF(I60="", "", IF(I60&gt;=75, "Passed", "Failed"))
</f>
        <v/>
      </c>
    </row>
    <row r="61" ht="15" customHeight="1" xml:space="preserve">
      <c r="B61">
        <v>48</v>
      </c>
      <c r="C61" t="str">
        <f>IF('INPUT DATA'!K58="","",'INPUT DATA'!K58)</f>
        <v/>
      </c>
      <c r="F61" t="str">
        <f>IF('TERM 1'!AC65="","",'TERM 1'!AC65)</f>
        <v/>
      </c>
      <c r="G61" t="str">
        <f>IF('TERM 2'!AC65="","",'TERM 2'!AC65)</f>
        <v/>
      </c>
      <c r="H61" t="str">
        <f>IF('TERM 3'!AC65="","",'TERM 3'!AC65)</f>
        <v/>
      </c>
      <c r="I61" s="1" t="str">
        <f>IF(COUNT(F61,G61,H61)&lt;3,"",ROUND(AVERAGE(F61,G61,H61),0))</f>
        <v/>
      </c>
      <c r="J61" t="str">
        <f t="array" ref="J61">IF(I61="","",IFERROR(INDEX(HELPER!$G$8:$G$48,MATCH(I61,HELPER!$F$8:$F$48,-1)),""))</f>
        <v/>
      </c>
      <c r="K61" t="str" xml:space="preserve">
        <f xml:space="preserve">IF(I61="", "", IF(I61&gt;=75, "Passed", "Failed"))
</f>
        <v/>
      </c>
    </row>
    <row r="62" ht="15" customHeight="1" xml:space="preserve">
      <c r="B62">
        <v>49</v>
      </c>
      <c r="C62" t="str">
        <f>IF('INPUT DATA'!K59="","",'INPUT DATA'!K59)</f>
        <v/>
      </c>
      <c r="F62" t="str">
        <f>IF('TERM 1'!AC66="","",'TERM 1'!AC66)</f>
        <v/>
      </c>
      <c r="G62" t="str">
        <f>IF('TERM 2'!AC66="","",'TERM 2'!AC66)</f>
        <v/>
      </c>
      <c r="H62" t="str">
        <f>IF('TERM 3'!AC66="","",'TERM 3'!AC66)</f>
        <v/>
      </c>
      <c r="I62" s="1" t="str">
        <f>IF(COUNT(F62,G62,H62)&lt;3,"",ROUND(AVERAGE(F62,G62,H62),0))</f>
        <v/>
      </c>
      <c r="J62" t="str">
        <f t="array" ref="J62">IF(I62="","",IFERROR(INDEX(HELPER!$G$8:$G$48,MATCH(I62,HELPER!$F$8:$F$48,-1)),""))</f>
        <v/>
      </c>
      <c r="K62" t="str" xml:space="preserve">
        <f xml:space="preserve">IF(I62="", "", IF(I62&gt;=75, "Passed", "Failed"))
</f>
        <v/>
      </c>
    </row>
    <row r="63" ht="15" customHeight="1" xml:space="preserve">
      <c r="B63">
        <v>50</v>
      </c>
      <c r="C63" t="str">
        <f>IF('INPUT DATA'!K60="","",'INPUT DATA'!K60)</f>
        <v/>
      </c>
      <c r="F63" t="str">
        <f>IF('TERM 1'!AC67="","",'TERM 1'!AC67)</f>
        <v/>
      </c>
      <c r="G63" t="str">
        <f>IF('TERM 2'!AC67="","",'TERM 2'!AC67)</f>
        <v/>
      </c>
      <c r="H63" t="str">
        <f>IF('TERM 3'!AC67="","",'TERM 3'!AC67)</f>
        <v/>
      </c>
      <c r="I63" s="1" t="str">
        <f>IF(COUNT(F63,G63,H63)&lt;3,"",ROUND(AVERAGE(F63,G63,H63),0))</f>
        <v/>
      </c>
      <c r="J63" t="str">
        <f t="array" ref="J63">IF(I63="","",IFERROR(INDEX(HELPER!$G$8:$G$48,MATCH(I63,HELPER!$F$8:$F$48,-1)),""))</f>
        <v/>
      </c>
      <c r="K63" t="str" xml:space="preserve">
        <f xml:space="preserve">IF(I63="", "", IF(I63&gt;=75, "Passed", "Failed"))
</f>
        <v/>
      </c>
    </row>
    <row r="64" ht="14.25" customHeight="1">
      <c r="B64" t="str">
        <v>FEMALE</v>
      </c>
    </row>
    <row r="65" ht="15" customHeight="1" xml:space="preserve">
      <c r="B65">
        <v>1</v>
      </c>
      <c r="C65" t="str">
        <f>IF('INPUT DATA'!N11="","",'INPUT DATA'!N11)</f>
        <v/>
      </c>
      <c r="F65" t="str">
        <f>IF('TERM 1'!AC69="","",'TERM 1'!AC69)</f>
        <v/>
      </c>
      <c r="G65" t="str">
        <f>IF('TERM 2'!AC69="","",'TERM 2'!AC69)</f>
        <v/>
      </c>
      <c r="H65" t="str">
        <f>IF('TERM 3'!AC69="","",'TERM 3'!AC69)</f>
        <v/>
      </c>
      <c r="I65" s="1" t="str">
        <f>IF(COUNT(F65,G65,H65)&lt;3,"",ROUND(AVERAGE(F65,G65,H65),0))</f>
        <v/>
      </c>
      <c r="J65" t="str">
        <f t="array" ref="J65">IF(I65="","",IFERROR(INDEX(HELPER!$G$8:$G$48,MATCH(I65,HELPER!$F$8:$F$48,-1)),""))</f>
        <v/>
      </c>
      <c r="K65" t="str" xml:space="preserve">
        <f xml:space="preserve">IF(I65="", "", IF(I65&gt;=75, "Passed", "Failed"))
</f>
        <v/>
      </c>
    </row>
    <row r="66" ht="15" customHeight="1" xml:space="preserve">
      <c r="B66">
        <v>2</v>
      </c>
      <c r="C66" t="str">
        <f>IF('INPUT DATA'!N12="","",'INPUT DATA'!N12)</f>
        <v/>
      </c>
      <c r="F66" t="str">
        <f>IF('TERM 1'!AC70="","",'TERM 1'!AC70)</f>
        <v/>
      </c>
      <c r="G66" t="str">
        <f>IF('TERM 2'!AC70="","",'TERM 2'!AC70)</f>
        <v/>
      </c>
      <c r="H66" t="str">
        <f>IF('TERM 3'!AC70="","",'TERM 3'!AC70)</f>
        <v/>
      </c>
      <c r="I66" s="1" t="str">
        <f>IF(COUNT(F66,G66,H66)&lt;3,"",ROUND(AVERAGE(F66,G66,H66),0))</f>
        <v/>
      </c>
      <c r="J66" t="str">
        <f t="array" ref="J66">IF(I66="","",IFERROR(INDEX(HELPER!$G$8:$G$48,MATCH(I66,HELPER!$F$8:$F$48,-1)),""))</f>
        <v/>
      </c>
      <c r="K66" t="str" xml:space="preserve">
        <f xml:space="preserve">IF(I66="", "", IF(I66&gt;=75, "Passed", "Failed"))
</f>
        <v/>
      </c>
    </row>
    <row r="67" ht="15" customHeight="1" xml:space="preserve">
      <c r="B67">
        <v>3</v>
      </c>
      <c r="C67" t="str">
        <f>IF('INPUT DATA'!N13="","",'INPUT DATA'!N13)</f>
        <v/>
      </c>
      <c r="F67" t="str">
        <f>IF('TERM 1'!AC71="","",'TERM 1'!AC71)</f>
        <v/>
      </c>
      <c r="G67" t="str">
        <f>IF('TERM 2'!AC71="","",'TERM 2'!AC71)</f>
        <v/>
      </c>
      <c r="H67" t="str">
        <f>IF('TERM 3'!AC71="","",'TERM 3'!AC71)</f>
        <v/>
      </c>
      <c r="I67" s="1" t="str">
        <f>IF(COUNT(F67,G67,H67)&lt;3,"",ROUND(AVERAGE(F67,G67,H67),0))</f>
        <v/>
      </c>
      <c r="J67" t="str">
        <f t="array" ref="J67">IF(I67="","",IFERROR(INDEX(HELPER!$G$8:$G$48,MATCH(I67,HELPER!$F$8:$F$48,-1)),""))</f>
        <v/>
      </c>
      <c r="K67" t="str" xml:space="preserve">
        <f xml:space="preserve">IF(I67="", "", IF(I67&gt;=75, "Passed", "Failed"))
</f>
        <v/>
      </c>
    </row>
    <row r="68" ht="15" customHeight="1" xml:space="preserve">
      <c r="B68">
        <v>4</v>
      </c>
      <c r="C68" t="str">
        <f>IF('INPUT DATA'!N14="","",'INPUT DATA'!N14)</f>
        <v/>
      </c>
      <c r="F68" t="str">
        <f>IF('TERM 1'!AC72="","",'TERM 1'!AC72)</f>
        <v/>
      </c>
      <c r="G68" t="str">
        <f>IF('TERM 2'!AC72="","",'TERM 2'!AC72)</f>
        <v/>
      </c>
      <c r="H68" t="str">
        <f>IF('TERM 3'!AC72="","",'TERM 3'!AC72)</f>
        <v/>
      </c>
      <c r="I68" s="1" t="str">
        <f>IF(COUNT(F68,G68,H68)&lt;3,"",ROUND(AVERAGE(F68,G68,H68),0))</f>
        <v/>
      </c>
      <c r="J68" t="str">
        <f t="array" ref="J68">IF(I68="","",IFERROR(INDEX(HELPER!$G$8:$G$48,MATCH(I68,HELPER!$F$8:$F$48,-1)),""))</f>
        <v/>
      </c>
      <c r="K68" t="str" xml:space="preserve">
        <f xml:space="preserve">IF(I68="", "", IF(I68&gt;=75, "Passed", "Failed"))
</f>
        <v/>
      </c>
    </row>
    <row r="69" ht="15" customHeight="1" xml:space="preserve">
      <c r="B69">
        <v>5</v>
      </c>
      <c r="C69" t="str">
        <f>IF('INPUT DATA'!N15="","",'INPUT DATA'!N15)</f>
        <v/>
      </c>
      <c r="F69" t="str">
        <f>IF('TERM 1'!AC73="","",'TERM 1'!AC73)</f>
        <v/>
      </c>
      <c r="G69" t="str">
        <f>IF('TERM 2'!AC73="","",'TERM 2'!AC73)</f>
        <v/>
      </c>
      <c r="H69" t="str">
        <f>IF('TERM 3'!AC73="","",'TERM 3'!AC73)</f>
        <v/>
      </c>
      <c r="I69" s="1" t="str">
        <f>IF(COUNT(F69,G69,H69)&lt;3,"",ROUND(AVERAGE(F69,G69,H69),0))</f>
        <v/>
      </c>
      <c r="J69" t="str">
        <f t="array" ref="J69">IF(I69="","",IFERROR(INDEX(HELPER!$G$8:$G$48,MATCH(I69,HELPER!$F$8:$F$48,-1)),""))</f>
        <v/>
      </c>
      <c r="K69" t="str" xml:space="preserve">
        <f xml:space="preserve">IF(I69="", "", IF(I69&gt;=75, "Passed", "Failed"))
</f>
        <v/>
      </c>
    </row>
    <row r="70" ht="15" customHeight="1" xml:space="preserve">
      <c r="B70">
        <v>6</v>
      </c>
      <c r="C70" t="str">
        <f>IF('INPUT DATA'!N16="","",'INPUT DATA'!N16)</f>
        <v/>
      </c>
      <c r="F70" t="str">
        <f>IF('TERM 1'!AC74="","",'TERM 1'!AC74)</f>
        <v/>
      </c>
      <c r="G70" t="str">
        <f>IF('TERM 2'!AC74="","",'TERM 2'!AC74)</f>
        <v/>
      </c>
      <c r="H70" t="str">
        <f>IF('TERM 3'!AC74="","",'TERM 3'!AC74)</f>
        <v/>
      </c>
      <c r="I70" s="1" t="str">
        <f>IF(COUNT(F70,G70,H70)&lt;3,"",ROUND(AVERAGE(F70,G70,H70),0))</f>
        <v/>
      </c>
      <c r="J70" t="str">
        <f t="array" ref="J70">IF(I70="","",IFERROR(INDEX(HELPER!$G$8:$G$48,MATCH(I70,HELPER!$F$8:$F$48,-1)),""))</f>
        <v/>
      </c>
      <c r="K70" t="str" xml:space="preserve">
        <f xml:space="preserve">IF(I70="", "", IF(I70&gt;=75, "Passed", "Failed"))
</f>
        <v/>
      </c>
    </row>
    <row r="71" ht="15" customHeight="1" xml:space="preserve">
      <c r="B71">
        <v>7</v>
      </c>
      <c r="C71" t="str">
        <f>IF('INPUT DATA'!N17="","",'INPUT DATA'!N17)</f>
        <v/>
      </c>
      <c r="F71" t="str">
        <f>IF('TERM 1'!AC75="","",'TERM 1'!AC75)</f>
        <v/>
      </c>
      <c r="G71" t="str">
        <f>IF('TERM 2'!AC75="","",'TERM 2'!AC75)</f>
        <v/>
      </c>
      <c r="H71" t="str">
        <f>IF('TERM 3'!AC75="","",'TERM 3'!AC75)</f>
        <v/>
      </c>
      <c r="I71" s="1" t="str">
        <f>IF(COUNT(F71,G71,H71)&lt;3,"",ROUND(AVERAGE(F71,G71,H71),0))</f>
        <v/>
      </c>
      <c r="J71" t="str">
        <f t="array" ref="J71">IF(I71="","",IFERROR(INDEX(HELPER!$G$8:$G$48,MATCH(I71,HELPER!$F$8:$F$48,-1)),""))</f>
        <v/>
      </c>
      <c r="K71" t="str" xml:space="preserve">
        <f xml:space="preserve">IF(I71="", "", IF(I71&gt;=75, "Passed", "Failed"))
</f>
        <v/>
      </c>
    </row>
    <row r="72" ht="15" customHeight="1" xml:space="preserve">
      <c r="B72">
        <v>8</v>
      </c>
      <c r="C72" t="str">
        <f>IF('INPUT DATA'!N18="","",'INPUT DATA'!N18)</f>
        <v/>
      </c>
      <c r="F72" t="str">
        <f>IF('TERM 1'!AC76="","",'TERM 1'!AC76)</f>
        <v/>
      </c>
      <c r="G72" t="str">
        <f>IF('TERM 2'!AC76="","",'TERM 2'!AC76)</f>
        <v/>
      </c>
      <c r="H72" t="str">
        <f>IF('TERM 3'!AC76="","",'TERM 3'!AC76)</f>
        <v/>
      </c>
      <c r="I72" s="1" t="str">
        <f>IF(COUNT(F72,G72,H72)&lt;3,"",ROUND(AVERAGE(F72,G72,H72),0))</f>
        <v/>
      </c>
      <c r="J72" t="str">
        <f t="array" ref="J72">IF(I72="","",IFERROR(INDEX(HELPER!$G$8:$G$48,MATCH(I72,HELPER!$F$8:$F$48,-1)),""))</f>
        <v/>
      </c>
      <c r="K72" t="str" xml:space="preserve">
        <f xml:space="preserve">IF(I72="", "", IF(I72&gt;=75, "Passed", "Failed"))
</f>
        <v/>
      </c>
    </row>
    <row r="73" ht="15" customHeight="1" xml:space="preserve">
      <c r="B73">
        <v>9</v>
      </c>
      <c r="C73" t="str">
        <f>IF('INPUT DATA'!N19="","",'INPUT DATA'!N19)</f>
        <v/>
      </c>
      <c r="F73" t="str">
        <f>IF('TERM 1'!AC77="","",'TERM 1'!AC77)</f>
        <v/>
      </c>
      <c r="G73" t="str">
        <f>IF('TERM 2'!AC77="","",'TERM 2'!AC77)</f>
        <v/>
      </c>
      <c r="H73" t="str">
        <f>IF('TERM 3'!AC77="","",'TERM 3'!AC77)</f>
        <v/>
      </c>
      <c r="I73" s="1" t="str">
        <f>IF(COUNT(F73,G73,H73)&lt;3,"",ROUND(AVERAGE(F73,G73,H73),0))</f>
        <v/>
      </c>
      <c r="J73" t="str">
        <f t="array" ref="J73">IF(I73="","",IFERROR(INDEX(HELPER!$G$8:$G$48,MATCH(I73,HELPER!$F$8:$F$48,-1)),""))</f>
        <v/>
      </c>
      <c r="K73" t="str" xml:space="preserve">
        <f xml:space="preserve">IF(I73="", "", IF(I73&gt;=75, "Passed", "Failed"))
</f>
        <v/>
      </c>
    </row>
    <row r="74" ht="15" customHeight="1" xml:space="preserve">
      <c r="B74">
        <v>10</v>
      </c>
      <c r="C74" t="str">
        <f>IF('INPUT DATA'!N20="","",'INPUT DATA'!N20)</f>
        <v/>
      </c>
      <c r="F74" t="str">
        <f>IF('TERM 1'!AC78="","",'TERM 1'!AC78)</f>
        <v/>
      </c>
      <c r="G74" t="str">
        <f>IF('TERM 2'!AC78="","",'TERM 2'!AC78)</f>
        <v/>
      </c>
      <c r="H74" t="str">
        <f>IF('TERM 3'!AC78="","",'TERM 3'!AC78)</f>
        <v/>
      </c>
      <c r="I74" s="1" t="str">
        <f>IF(COUNT(F74,G74,H74)&lt;3,"",ROUND(AVERAGE(F74,G74,H74),0))</f>
        <v/>
      </c>
      <c r="J74" t="str">
        <f t="array" ref="J74">IF(I74="","",IFERROR(INDEX(HELPER!$G$8:$G$48,MATCH(I74,HELPER!$F$8:$F$48,-1)),""))</f>
        <v/>
      </c>
      <c r="K74" t="str" xml:space="preserve">
        <f xml:space="preserve">IF(I74="", "", IF(I74&gt;=75, "Passed", "Failed"))
</f>
        <v/>
      </c>
    </row>
    <row r="75" ht="15" customHeight="1" xml:space="preserve">
      <c r="B75">
        <v>11</v>
      </c>
      <c r="C75" t="str">
        <f>IF('INPUT DATA'!N21="","",'INPUT DATA'!N21)</f>
        <v/>
      </c>
      <c r="F75" t="str">
        <f>IF('TERM 1'!AC79="","",'TERM 1'!AC79)</f>
        <v/>
      </c>
      <c r="G75" t="str">
        <f>IF('TERM 2'!AC79="","",'TERM 2'!AC79)</f>
        <v/>
      </c>
      <c r="H75" t="str">
        <f>IF('TERM 3'!AC79="","",'TERM 3'!AC79)</f>
        <v/>
      </c>
      <c r="I75" s="1" t="str">
        <f>IF(COUNT(F75,G75,H75)&lt;3,"",ROUND(AVERAGE(F75,G75,H75),0))</f>
        <v/>
      </c>
      <c r="J75" t="str">
        <f t="array" ref="J75">IF(I75="","",IFERROR(INDEX(HELPER!$G$8:$G$48,MATCH(I75,HELPER!$F$8:$F$48,-1)),""))</f>
        <v/>
      </c>
      <c r="K75" t="str" xml:space="preserve">
        <f xml:space="preserve">IF(I75="", "", IF(I75&gt;=75, "Passed", "Failed"))
</f>
        <v/>
      </c>
    </row>
    <row r="76" ht="15" customHeight="1" xml:space="preserve">
      <c r="B76">
        <v>12</v>
      </c>
      <c r="C76" t="str">
        <f>IF('INPUT DATA'!N22="","",'INPUT DATA'!N22)</f>
        <v/>
      </c>
      <c r="F76" t="str">
        <f>IF('TERM 1'!AC80="","",'TERM 1'!AC80)</f>
        <v/>
      </c>
      <c r="G76" t="str">
        <f>IF('TERM 2'!AC80="","",'TERM 2'!AC80)</f>
        <v/>
      </c>
      <c r="H76" t="str">
        <f>IF('TERM 3'!AC80="","",'TERM 3'!AC80)</f>
        <v/>
      </c>
      <c r="I76" s="1" t="str">
        <f>IF(COUNT(F76,G76,H76)&lt;3,"",ROUND(AVERAGE(F76,G76,H76),0))</f>
        <v/>
      </c>
      <c r="J76" t="str">
        <f t="array" ref="J76">IF(I76="","",IFERROR(INDEX(HELPER!$G$8:$G$48,MATCH(I76,HELPER!$F$8:$F$48,-1)),""))</f>
        <v/>
      </c>
      <c r="K76" t="str" xml:space="preserve">
        <f xml:space="preserve">IF(I76="", "", IF(I76&gt;=75, "Passed", "Failed"))
</f>
        <v/>
      </c>
    </row>
    <row r="77" ht="15" customHeight="1" xml:space="preserve">
      <c r="B77">
        <v>13</v>
      </c>
      <c r="C77" t="str">
        <f>IF('INPUT DATA'!N23="","",'INPUT DATA'!N23)</f>
        <v/>
      </c>
      <c r="F77" t="str">
        <f>IF('TERM 1'!AC81="","",'TERM 1'!AC81)</f>
        <v/>
      </c>
      <c r="G77" t="str">
        <f>IF('TERM 2'!AC81="","",'TERM 2'!AC81)</f>
        <v/>
      </c>
      <c r="H77" t="str">
        <f>IF('TERM 3'!AC81="","",'TERM 3'!AC81)</f>
        <v/>
      </c>
      <c r="I77" s="1" t="str">
        <f>IF(COUNT(F77,G77,H77)&lt;3,"",ROUND(AVERAGE(F77,G77,H77),0))</f>
        <v/>
      </c>
      <c r="J77" t="str">
        <f t="array" ref="J77">IF(I77="","",IFERROR(INDEX(HELPER!$G$8:$G$48,MATCH(I77,HELPER!$F$8:$F$48,-1)),""))</f>
        <v/>
      </c>
      <c r="K77" t="str" xml:space="preserve">
        <f xml:space="preserve">IF(I77="", "", IF(I77&gt;=75, "Passed", "Failed"))
</f>
        <v/>
      </c>
    </row>
    <row r="78" ht="15" customHeight="1" xml:space="preserve">
      <c r="B78">
        <v>14</v>
      </c>
      <c r="C78" t="str">
        <f>IF('INPUT DATA'!N24="","",'INPUT DATA'!N24)</f>
        <v/>
      </c>
      <c r="F78" t="str">
        <f>IF('TERM 1'!AC82="","",'TERM 1'!AC82)</f>
        <v/>
      </c>
      <c r="G78" t="str">
        <f>IF('TERM 2'!AC82="","",'TERM 2'!AC82)</f>
        <v/>
      </c>
      <c r="H78" t="str">
        <f>IF('TERM 3'!AC82="","",'TERM 3'!AC82)</f>
        <v/>
      </c>
      <c r="I78" s="1" t="str">
        <f>IF(COUNT(F78,G78,H78)&lt;3,"",ROUND(AVERAGE(F78,G78,H78),0))</f>
        <v/>
      </c>
      <c r="J78" t="str">
        <f t="array" ref="J78">IF(I78="","",IFERROR(INDEX(HELPER!$G$8:$G$48,MATCH(I78,HELPER!$F$8:$F$48,-1)),""))</f>
        <v/>
      </c>
      <c r="K78" t="str" xml:space="preserve">
        <f xml:space="preserve">IF(I78="", "", IF(I78&gt;=75, "Passed", "Failed"))
</f>
        <v/>
      </c>
    </row>
    <row r="79" ht="15" customHeight="1" xml:space="preserve">
      <c r="B79">
        <v>15</v>
      </c>
      <c r="C79" t="str">
        <f>IF('INPUT DATA'!N25="","",'INPUT DATA'!N25)</f>
        <v/>
      </c>
      <c r="F79" t="str">
        <f>IF('TERM 1'!AC83="","",'TERM 1'!AC83)</f>
        <v/>
      </c>
      <c r="G79" t="str">
        <f>IF('TERM 2'!AC83="","",'TERM 2'!AC83)</f>
        <v/>
      </c>
      <c r="H79" t="str">
        <f>IF('TERM 3'!AC83="","",'TERM 3'!AC83)</f>
        <v/>
      </c>
      <c r="I79" s="1" t="str">
        <f>IF(COUNT(F79,G79,H79)&lt;3,"",ROUND(AVERAGE(F79,G79,H79),0))</f>
        <v/>
      </c>
      <c r="J79" t="str">
        <f t="array" ref="J79">IF(I79="","",IFERROR(INDEX(HELPER!$G$8:$G$48,MATCH(I79,HELPER!$F$8:$F$48,-1)),""))</f>
        <v/>
      </c>
      <c r="K79" t="str" xml:space="preserve">
        <f xml:space="preserve">IF(I79="", "", IF(I79&gt;=75, "Passed", "Failed"))
</f>
        <v/>
      </c>
    </row>
    <row r="80" ht="15" customHeight="1" xml:space="preserve">
      <c r="B80">
        <v>16</v>
      </c>
      <c r="C80" t="str">
        <f>IF('INPUT DATA'!N26="","",'INPUT DATA'!N26)</f>
        <v/>
      </c>
      <c r="F80" t="str">
        <f>IF('TERM 1'!AC84="","",'TERM 1'!AC84)</f>
        <v/>
      </c>
      <c r="G80" t="str">
        <f>IF('TERM 2'!AC84="","",'TERM 2'!AC84)</f>
        <v/>
      </c>
      <c r="H80" t="str">
        <f>IF('TERM 3'!AC84="","",'TERM 3'!AC84)</f>
        <v/>
      </c>
      <c r="I80" s="1" t="str">
        <f>IF(COUNT(F80,G80,H80)&lt;3,"",ROUND(AVERAGE(F80,G80,H80),0))</f>
        <v/>
      </c>
      <c r="J80" t="str">
        <f t="array" ref="J80">IF(I80="","",IFERROR(INDEX(HELPER!$G$8:$G$48,MATCH(I80,HELPER!$F$8:$F$48,-1)),""))</f>
        <v/>
      </c>
      <c r="K80" t="str" xml:space="preserve">
        <f xml:space="preserve">IF(I80="", "", IF(I80&gt;=75, "Passed", "Failed"))
</f>
        <v/>
      </c>
    </row>
    <row r="81" ht="15" customHeight="1" xml:space="preserve">
      <c r="B81">
        <v>17</v>
      </c>
      <c r="C81" t="str">
        <f>IF('INPUT DATA'!N27="","",'INPUT DATA'!N27)</f>
        <v/>
      </c>
      <c r="F81" t="str">
        <f>IF('TERM 1'!AC85="","",'TERM 1'!AC85)</f>
        <v/>
      </c>
      <c r="G81" t="str">
        <f>IF('TERM 2'!AC85="","",'TERM 2'!AC85)</f>
        <v/>
      </c>
      <c r="H81" t="str">
        <f>IF('TERM 3'!AC85="","",'TERM 3'!AC85)</f>
        <v/>
      </c>
      <c r="I81" s="1" t="str">
        <f>IF(COUNT(F81,G81,H81)&lt;3,"",ROUND(AVERAGE(F81,G81,H81),0))</f>
        <v/>
      </c>
      <c r="J81" t="str">
        <f t="array" ref="J81">IF(I81="","",IFERROR(INDEX(HELPER!$G$8:$G$48,MATCH(I81,HELPER!$F$8:$F$48,-1)),""))</f>
        <v/>
      </c>
      <c r="K81" t="str" xml:space="preserve">
        <f xml:space="preserve">IF(I81="", "", IF(I81&gt;=75, "Passed", "Failed"))
</f>
        <v/>
      </c>
    </row>
    <row r="82" ht="15" customHeight="1" xml:space="preserve">
      <c r="B82">
        <v>18</v>
      </c>
      <c r="C82" t="str">
        <f>IF('INPUT DATA'!N28="","",'INPUT DATA'!N28)</f>
        <v/>
      </c>
      <c r="F82" t="str">
        <f>IF('TERM 1'!AC86="","",'TERM 1'!AC86)</f>
        <v/>
      </c>
      <c r="G82" t="str">
        <f>IF('TERM 2'!AC86="","",'TERM 2'!AC86)</f>
        <v/>
      </c>
      <c r="H82" t="str">
        <f>IF('TERM 3'!AC86="","",'TERM 3'!AC86)</f>
        <v/>
      </c>
      <c r="I82" s="1" t="str">
        <f>IF(COUNT(F82,G82,H82)&lt;3,"",ROUND(AVERAGE(F82,G82,H82),0))</f>
        <v/>
      </c>
      <c r="J82" t="str">
        <f t="array" ref="J82">IF(I82="","",IFERROR(INDEX(HELPER!$G$8:$G$48,MATCH(I82,HELPER!$F$8:$F$48,-1)),""))</f>
        <v/>
      </c>
      <c r="K82" t="str" xml:space="preserve">
        <f xml:space="preserve">IF(I82="", "", IF(I82&gt;=75, "Passed", "Failed"))
</f>
        <v/>
      </c>
    </row>
    <row r="83" ht="15" customHeight="1" xml:space="preserve">
      <c r="B83">
        <v>19</v>
      </c>
      <c r="C83" t="str">
        <f>IF('INPUT DATA'!N29="","",'INPUT DATA'!N29)</f>
        <v/>
      </c>
      <c r="F83" t="str">
        <f>IF('TERM 1'!AC87="","",'TERM 1'!AC87)</f>
        <v/>
      </c>
      <c r="G83" t="str">
        <f>IF('TERM 2'!AC87="","",'TERM 2'!AC87)</f>
        <v/>
      </c>
      <c r="H83" t="str">
        <f>IF('TERM 3'!AC87="","",'TERM 3'!AC87)</f>
        <v/>
      </c>
      <c r="I83" s="1" t="str">
        <f>IF(COUNT(F83,G83,H83)&lt;3,"",ROUND(AVERAGE(F83,G83,H83),0))</f>
        <v/>
      </c>
      <c r="J83" t="str">
        <f t="array" ref="J83">IF(I83="","",IFERROR(INDEX(HELPER!$G$8:$G$48,MATCH(I83,HELPER!$F$8:$F$48,-1)),""))</f>
        <v/>
      </c>
      <c r="K83" t="str" xml:space="preserve">
        <f xml:space="preserve">IF(I83="", "", IF(I83&gt;=75, "Passed", "Failed"))
</f>
        <v/>
      </c>
    </row>
    <row r="84" ht="15" customHeight="1" xml:space="preserve">
      <c r="B84">
        <v>20</v>
      </c>
      <c r="C84" t="str">
        <f>IF('INPUT DATA'!N30="","",'INPUT DATA'!N30)</f>
        <v/>
      </c>
      <c r="F84" t="str">
        <f>IF('TERM 1'!AC88="","",'TERM 1'!AC88)</f>
        <v/>
      </c>
      <c r="G84" t="str">
        <f>IF('TERM 2'!AC88="","",'TERM 2'!AC88)</f>
        <v/>
      </c>
      <c r="H84" t="str">
        <f>IF('TERM 3'!AC88="","",'TERM 3'!AC88)</f>
        <v/>
      </c>
      <c r="I84" s="1" t="str">
        <f>IF(COUNT(F84,G84,H84)&lt;3,"",ROUND(AVERAGE(F84,G84,H84),0))</f>
        <v/>
      </c>
      <c r="J84" t="str">
        <f t="array" ref="J84">IF(I84="","",IFERROR(INDEX(HELPER!$G$8:$G$48,MATCH(I84,HELPER!$F$8:$F$48,-1)),""))</f>
        <v/>
      </c>
      <c r="K84" t="str" xml:space="preserve">
        <f xml:space="preserve">IF(I84="", "", IF(I84&gt;=75, "Passed", "Failed"))
</f>
        <v/>
      </c>
    </row>
    <row r="85" ht="15" customHeight="1" xml:space="preserve">
      <c r="B85">
        <v>21</v>
      </c>
      <c r="C85" t="str">
        <f>IF('INPUT DATA'!N31="","",'INPUT DATA'!N31)</f>
        <v/>
      </c>
      <c r="F85" t="str">
        <f>IF('TERM 1'!AC89="","",'TERM 1'!AC89)</f>
        <v/>
      </c>
      <c r="G85" t="str">
        <f>IF('TERM 2'!AC89="","",'TERM 2'!AC89)</f>
        <v/>
      </c>
      <c r="H85" t="str">
        <f>IF('TERM 3'!AC89="","",'TERM 3'!AC89)</f>
        <v/>
      </c>
      <c r="I85" s="1" t="str">
        <f>IF(COUNT(F85,G85,H85)&lt;3,"",ROUND(AVERAGE(F85,G85,H85),0))</f>
        <v/>
      </c>
      <c r="J85" t="str">
        <f t="array" ref="J85">IF(I85="","",IFERROR(INDEX(HELPER!$G$8:$G$48,MATCH(I85,HELPER!$F$8:$F$48,-1)),""))</f>
        <v/>
      </c>
      <c r="K85" t="str" xml:space="preserve">
        <f xml:space="preserve">IF(I85="", "", IF(I85&gt;=75, "Passed", "Failed"))
</f>
        <v/>
      </c>
    </row>
    <row r="86" ht="15" customHeight="1" xml:space="preserve">
      <c r="B86">
        <v>22</v>
      </c>
      <c r="C86" t="str">
        <f>IF('INPUT DATA'!N32="","",'INPUT DATA'!N32)</f>
        <v/>
      </c>
      <c r="F86" t="str">
        <f>IF('TERM 1'!AC90="","",'TERM 1'!AC90)</f>
        <v/>
      </c>
      <c r="G86" t="str">
        <f>IF('TERM 2'!AC90="","",'TERM 2'!AC90)</f>
        <v/>
      </c>
      <c r="H86" t="str">
        <f>IF('TERM 3'!AC90="","",'TERM 3'!AC90)</f>
        <v/>
      </c>
      <c r="I86" s="1" t="str">
        <f>IF(COUNT(F86,G86,H86)&lt;3,"",ROUND(AVERAGE(F86,G86,H86),0))</f>
        <v/>
      </c>
      <c r="J86" t="str">
        <f t="array" ref="J86">IF(I86="","",IFERROR(INDEX(HELPER!$G$8:$G$48,MATCH(I86,HELPER!$F$8:$F$48,-1)),""))</f>
        <v/>
      </c>
      <c r="K86" t="str" xml:space="preserve">
        <f xml:space="preserve">IF(I86="", "", IF(I86&gt;=75, "Passed", "Failed"))
</f>
        <v/>
      </c>
    </row>
    <row r="87" ht="15" customHeight="1" xml:space="preserve">
      <c r="B87">
        <v>23</v>
      </c>
      <c r="C87" t="str">
        <f>IF('INPUT DATA'!N33="","",'INPUT DATA'!N33)</f>
        <v/>
      </c>
      <c r="F87" t="str">
        <f>IF('TERM 1'!AC91="","",'TERM 1'!AC91)</f>
        <v/>
      </c>
      <c r="G87" t="str">
        <f>IF('TERM 2'!AC91="","",'TERM 2'!AC91)</f>
        <v/>
      </c>
      <c r="H87" t="str">
        <f>IF('TERM 3'!AC91="","",'TERM 3'!AC91)</f>
        <v/>
      </c>
      <c r="I87" s="1" t="str">
        <f>IF(COUNT(F87,G87,H87)&lt;3,"",ROUND(AVERAGE(F87,G87,H87),0))</f>
        <v/>
      </c>
      <c r="J87" t="str">
        <f t="array" ref="J87">IF(I87="","",IFERROR(INDEX(HELPER!$G$8:$G$48,MATCH(I87,HELPER!$F$8:$F$48,-1)),""))</f>
        <v/>
      </c>
      <c r="K87" t="str" xml:space="preserve">
        <f xml:space="preserve">IF(I87="", "", IF(I87&gt;=75, "Passed", "Failed"))
</f>
        <v/>
      </c>
    </row>
    <row r="88" ht="15" customHeight="1" xml:space="preserve">
      <c r="B88">
        <v>24</v>
      </c>
      <c r="C88" t="str">
        <f>IF('INPUT DATA'!N34="","",'INPUT DATA'!N34)</f>
        <v/>
      </c>
      <c r="F88" t="str">
        <f>IF('TERM 1'!AC92="","",'TERM 1'!AC92)</f>
        <v/>
      </c>
      <c r="G88" t="str">
        <f>IF('TERM 2'!AC92="","",'TERM 2'!AC92)</f>
        <v/>
      </c>
      <c r="H88" t="str">
        <f>IF('TERM 3'!AC92="","",'TERM 3'!AC92)</f>
        <v/>
      </c>
      <c r="I88" s="1" t="str">
        <f>IF(COUNT(F88,G88,H88)&lt;3,"",ROUND(AVERAGE(F88,G88,H88),0))</f>
        <v/>
      </c>
      <c r="J88" t="str">
        <f t="array" ref="J88">IF(I88="","",IFERROR(INDEX(HELPER!$G$8:$G$48,MATCH(I88,HELPER!$F$8:$F$48,-1)),""))</f>
        <v/>
      </c>
      <c r="K88" t="str" xml:space="preserve">
        <f xml:space="preserve">IF(I88="", "", IF(I88&gt;=75, "Passed", "Failed"))
</f>
        <v/>
      </c>
    </row>
    <row r="89" ht="15" customHeight="1" xml:space="preserve">
      <c r="B89">
        <v>25</v>
      </c>
      <c r="C89" t="str">
        <f>IF('INPUT DATA'!N35="","",'INPUT DATA'!N35)</f>
        <v/>
      </c>
      <c r="F89" t="str">
        <f>IF('TERM 1'!AC93="","",'TERM 1'!AC93)</f>
        <v/>
      </c>
      <c r="G89" t="str">
        <f>IF('TERM 2'!AC93="","",'TERM 2'!AC93)</f>
        <v/>
      </c>
      <c r="H89" t="str">
        <f>IF('TERM 3'!AC93="","",'TERM 3'!AC93)</f>
        <v/>
      </c>
      <c r="I89" s="1" t="str">
        <f>IF(COUNT(F89,G89,H89)&lt;3,"",ROUND(AVERAGE(F89,G89,H89),0))</f>
        <v/>
      </c>
      <c r="J89" t="str">
        <f t="array" ref="J89">IF(I89="","",IFERROR(INDEX(HELPER!$G$8:$G$48,MATCH(I89,HELPER!$F$8:$F$48,-1)),""))</f>
        <v/>
      </c>
      <c r="K89" t="str" xml:space="preserve">
        <f xml:space="preserve">IF(I89="", "", IF(I89&gt;=75, "Passed", "Failed"))
</f>
        <v/>
      </c>
    </row>
    <row r="90" ht="15" customHeight="1" xml:space="preserve">
      <c r="B90">
        <v>26</v>
      </c>
      <c r="C90" t="str">
        <f>IF('INPUT DATA'!N36="","",'INPUT DATA'!N36)</f>
        <v/>
      </c>
      <c r="F90" t="str">
        <f>IF('TERM 1'!AC94="","",'TERM 1'!AC94)</f>
        <v/>
      </c>
      <c r="G90" t="str">
        <f>IF('TERM 2'!AC94="","",'TERM 2'!AC94)</f>
        <v/>
      </c>
      <c r="H90" t="str">
        <f>IF('TERM 3'!AC94="","",'TERM 3'!AC94)</f>
        <v/>
      </c>
      <c r="I90" s="1" t="str">
        <f>IF(COUNT(F90,G90,H90)&lt;3,"",ROUND(AVERAGE(F90,G90,H90),0))</f>
        <v/>
      </c>
      <c r="J90" t="str">
        <f t="array" ref="J90">IF(I90="","",IFERROR(INDEX(HELPER!$G$8:$G$48,MATCH(I90,HELPER!$F$8:$F$48,-1)),""))</f>
        <v/>
      </c>
      <c r="K90" t="str" xml:space="preserve">
        <f xml:space="preserve">IF(I90="", "", IF(I90&gt;=75, "Passed", "Failed"))
</f>
        <v/>
      </c>
    </row>
    <row r="91" ht="15" customHeight="1" xml:space="preserve">
      <c r="B91">
        <v>27</v>
      </c>
      <c r="C91" t="str">
        <f>IF('INPUT DATA'!N37="","",'INPUT DATA'!N37)</f>
        <v/>
      </c>
      <c r="F91" t="str">
        <f>IF('TERM 1'!AC95="","",'TERM 1'!AC95)</f>
        <v/>
      </c>
      <c r="G91" t="str">
        <f>IF('TERM 2'!AC95="","",'TERM 2'!AC95)</f>
        <v/>
      </c>
      <c r="H91" t="str">
        <f>IF('TERM 3'!AC95="","",'TERM 3'!AC95)</f>
        <v/>
      </c>
      <c r="I91" s="1" t="str">
        <f>IF(COUNT(F91,G91,H91)&lt;3,"",ROUND(AVERAGE(F91,G91,H91),0))</f>
        <v/>
      </c>
      <c r="J91" t="str">
        <f t="array" ref="J91">IF(I91="","",IFERROR(INDEX(HELPER!$G$8:$G$48,MATCH(I91,HELPER!$F$8:$F$48,-1)),""))</f>
        <v/>
      </c>
      <c r="K91" t="str" xml:space="preserve">
        <f xml:space="preserve">IF(I91="", "", IF(I91&gt;=75, "Passed", "Failed"))
</f>
        <v/>
      </c>
    </row>
    <row r="92" ht="15" customHeight="1" xml:space="preserve">
      <c r="B92">
        <v>28</v>
      </c>
      <c r="C92" t="str">
        <f>IF('INPUT DATA'!N38="","",'INPUT DATA'!N38)</f>
        <v/>
      </c>
      <c r="F92" t="str">
        <f>IF('TERM 1'!AC96="","",'TERM 1'!AC96)</f>
        <v/>
      </c>
      <c r="G92" t="str">
        <f>IF('TERM 2'!AC96="","",'TERM 2'!AC96)</f>
        <v/>
      </c>
      <c r="H92" t="str">
        <f>IF('TERM 3'!AC96="","",'TERM 3'!AC96)</f>
        <v/>
      </c>
      <c r="I92" s="1" t="str">
        <f>IF(COUNT(F92,G92,H92)&lt;3,"",ROUND(AVERAGE(F92,G92,H92),0))</f>
        <v/>
      </c>
      <c r="J92" t="str">
        <f t="array" ref="J92">IF(I92="","",IFERROR(INDEX(HELPER!$G$8:$G$48,MATCH(I92,HELPER!$F$8:$F$48,-1)),""))</f>
        <v/>
      </c>
      <c r="K92" t="str" xml:space="preserve">
        <f xml:space="preserve">IF(I92="", "", IF(I92&gt;=75, "Passed", "Failed"))
</f>
        <v/>
      </c>
    </row>
    <row r="93" ht="15" customHeight="1" xml:space="preserve">
      <c r="B93">
        <v>29</v>
      </c>
      <c r="C93" t="str">
        <f>IF('INPUT DATA'!N39="","",'INPUT DATA'!N39)</f>
        <v/>
      </c>
      <c r="F93" t="str">
        <f>IF('TERM 1'!AC97="","",'TERM 1'!AC97)</f>
        <v/>
      </c>
      <c r="G93" t="str">
        <f>IF('TERM 2'!AC97="","",'TERM 2'!AC97)</f>
        <v/>
      </c>
      <c r="H93" t="str">
        <f>IF('TERM 3'!AC97="","",'TERM 3'!AC97)</f>
        <v/>
      </c>
      <c r="I93" s="1" t="str">
        <f>IF(COUNT(F93,G93,H93)&lt;3,"",ROUND(AVERAGE(F93,G93,H93),0))</f>
        <v/>
      </c>
      <c r="J93" t="str">
        <f t="array" ref="J93">IF(I93="","",IFERROR(INDEX(HELPER!$G$8:$G$48,MATCH(I93,HELPER!$F$8:$F$48,-1)),""))</f>
        <v/>
      </c>
      <c r="K93" t="str" xml:space="preserve">
        <f xml:space="preserve">IF(I93="", "", IF(I93&gt;=75, "Passed", "Failed"))
</f>
        <v/>
      </c>
    </row>
    <row r="94" ht="15" customHeight="1" xml:space="preserve">
      <c r="B94">
        <v>30</v>
      </c>
      <c r="C94" t="str">
        <f>IF('INPUT DATA'!N40="","",'INPUT DATA'!N40)</f>
        <v/>
      </c>
      <c r="F94" t="str">
        <f>IF('TERM 1'!AC98="","",'TERM 1'!AC98)</f>
        <v/>
      </c>
      <c r="G94" t="str">
        <f>IF('TERM 2'!AC98="","",'TERM 2'!AC98)</f>
        <v/>
      </c>
      <c r="H94" t="str">
        <f>IF('TERM 3'!AC98="","",'TERM 3'!AC98)</f>
        <v/>
      </c>
      <c r="I94" s="1" t="str">
        <f>IF(COUNT(F94,G94,H94)&lt;3,"",ROUND(AVERAGE(F94,G94,H94),0))</f>
        <v/>
      </c>
      <c r="J94" t="str">
        <f t="array" ref="J94">IF(I94="","",IFERROR(INDEX(HELPER!$G$8:$G$48,MATCH(I94,HELPER!$F$8:$F$48,-1)),""))</f>
        <v/>
      </c>
      <c r="K94" t="str" xml:space="preserve">
        <f xml:space="preserve">IF(I94="", "", IF(I94&gt;=75, "Passed", "Failed"))
</f>
        <v/>
      </c>
    </row>
    <row r="95" ht="15" customHeight="1" xml:space="preserve">
      <c r="B95">
        <v>31</v>
      </c>
      <c r="C95" t="str">
        <f>IF('INPUT DATA'!N41="","",'INPUT DATA'!N41)</f>
        <v/>
      </c>
      <c r="F95" t="str">
        <f>IF('TERM 1'!AC99="","",'TERM 1'!AC99)</f>
        <v/>
      </c>
      <c r="G95" t="str">
        <f>IF('TERM 2'!AC99="","",'TERM 2'!AC99)</f>
        <v/>
      </c>
      <c r="H95" t="str">
        <f>IF('TERM 3'!AC99="","",'TERM 3'!AC99)</f>
        <v/>
      </c>
      <c r="I95" s="1" t="str">
        <f>IF(COUNT(F95,G95,H95)&lt;3,"",ROUND(AVERAGE(F95,G95,H95),0))</f>
        <v/>
      </c>
      <c r="J95" t="str">
        <f t="array" ref="J95">IF(I95="","",IFERROR(INDEX(HELPER!$G$8:$G$48,MATCH(I95,HELPER!$F$8:$F$48,-1)),""))</f>
        <v/>
      </c>
      <c r="K95" t="str" xml:space="preserve">
        <f xml:space="preserve">IF(I95="", "", IF(I95&gt;=75, "Passed", "Failed"))
</f>
        <v/>
      </c>
    </row>
    <row r="96" ht="15" customHeight="1" xml:space="preserve">
      <c r="B96">
        <v>32</v>
      </c>
      <c r="C96" t="str">
        <f>IF('INPUT DATA'!N42="","",'INPUT DATA'!N42)</f>
        <v/>
      </c>
      <c r="F96" t="str">
        <f>IF('TERM 1'!AC100="","",'TERM 1'!AC100)</f>
        <v/>
      </c>
      <c r="G96" t="str">
        <f>IF('TERM 2'!AC100="","",'TERM 2'!AC100)</f>
        <v/>
      </c>
      <c r="H96" t="str">
        <f>IF('TERM 3'!AC100="","",'TERM 3'!AC100)</f>
        <v/>
      </c>
      <c r="I96" s="1" t="str">
        <f>IF(COUNT(F96,G96,H96)&lt;3,"",ROUND(AVERAGE(F96,G96,H96),0))</f>
        <v/>
      </c>
      <c r="J96" t="str">
        <f t="array" ref="J96">IF(I96="","",IFERROR(INDEX(HELPER!$G$8:$G$48,MATCH(I96,HELPER!$F$8:$F$48,-1)),""))</f>
        <v/>
      </c>
      <c r="K96" t="str" xml:space="preserve">
        <f xml:space="preserve">IF(I96="", "", IF(I96&gt;=75, "Passed", "Failed"))
</f>
        <v/>
      </c>
    </row>
    <row r="97" ht="15" customHeight="1" xml:space="preserve">
      <c r="B97">
        <v>33</v>
      </c>
      <c r="C97" t="str">
        <f>IF('INPUT DATA'!N43="","",'INPUT DATA'!N43)</f>
        <v/>
      </c>
      <c r="F97" t="str">
        <f>IF('TERM 1'!AC101="","",'TERM 1'!AC101)</f>
        <v/>
      </c>
      <c r="G97" t="str">
        <f>IF('TERM 2'!AC101="","",'TERM 2'!AC101)</f>
        <v/>
      </c>
      <c r="H97" t="str">
        <f>IF('TERM 3'!AC101="","",'TERM 3'!AC101)</f>
        <v/>
      </c>
      <c r="I97" s="1" t="str">
        <f>IF(COUNT(F97,G97,H97)&lt;3,"",ROUND(AVERAGE(F97,G97,H97),0))</f>
        <v/>
      </c>
      <c r="J97" t="str">
        <f t="array" ref="J97">IF(I97="","",IFERROR(INDEX(HELPER!$G$8:$G$48,MATCH(I97,HELPER!$F$8:$F$48,-1)),""))</f>
        <v/>
      </c>
      <c r="K97" t="str" xml:space="preserve">
        <f xml:space="preserve">IF(I97="", "", IF(I97&gt;=75, "Passed", "Failed"))
</f>
        <v/>
      </c>
    </row>
    <row r="98" ht="15" customHeight="1" xml:space="preserve">
      <c r="B98">
        <v>34</v>
      </c>
      <c r="C98" t="str">
        <f>IF('INPUT DATA'!N44="","",'INPUT DATA'!N44)</f>
        <v/>
      </c>
      <c r="F98" t="str">
        <f>IF('TERM 1'!AC102="","",'TERM 1'!AC102)</f>
        <v/>
      </c>
      <c r="G98" t="str">
        <f>IF('TERM 2'!AC102="","",'TERM 2'!AC102)</f>
        <v/>
      </c>
      <c r="H98" t="str">
        <f>IF('TERM 3'!AC102="","",'TERM 3'!AC102)</f>
        <v/>
      </c>
      <c r="I98" s="1" t="str">
        <f>IF(COUNT(F98,G98,H98)&lt;3,"",ROUND(AVERAGE(F98,G98,H98),0))</f>
        <v/>
      </c>
      <c r="J98" t="str">
        <f t="array" ref="J98">IF(I98="","",IFERROR(INDEX(HELPER!$G$8:$G$48,MATCH(I98,HELPER!$F$8:$F$48,-1)),""))</f>
        <v/>
      </c>
      <c r="K98" t="str" xml:space="preserve">
        <f xml:space="preserve">IF(I98="", "", IF(I98&gt;=75, "Passed", "Failed"))
</f>
        <v/>
      </c>
    </row>
    <row r="99" ht="15" customHeight="1" xml:space="preserve">
      <c r="B99">
        <v>35</v>
      </c>
      <c r="C99" t="str">
        <f>IF('INPUT DATA'!N45="","",'INPUT DATA'!N45)</f>
        <v/>
      </c>
      <c r="F99" t="str">
        <f>IF('TERM 1'!AC103="","",'TERM 1'!AC103)</f>
        <v/>
      </c>
      <c r="G99" t="str">
        <f>IF('TERM 2'!AC103="","",'TERM 2'!AC103)</f>
        <v/>
      </c>
      <c r="H99" t="str">
        <f>IF('TERM 3'!AC103="","",'TERM 3'!AC103)</f>
        <v/>
      </c>
      <c r="I99" s="1" t="str">
        <f>IF(COUNT(F99,G99,H99)&lt;3,"",ROUND(AVERAGE(F99,G99,H99),0))</f>
        <v/>
      </c>
      <c r="J99" t="str">
        <f t="array" ref="J99">IF(I99="","",IFERROR(INDEX(HELPER!$G$8:$G$48,MATCH(I99,HELPER!$F$8:$F$48,-1)),""))</f>
        <v/>
      </c>
      <c r="K99" t="str" xml:space="preserve">
        <f xml:space="preserve">IF(I99="", "", IF(I99&gt;=75, "Passed", "Failed"))
</f>
        <v/>
      </c>
    </row>
    <row r="100" ht="15" customHeight="1" xml:space="preserve">
      <c r="B100">
        <v>36</v>
      </c>
      <c r="C100" t="str">
        <f>IF('INPUT DATA'!N46="","",'INPUT DATA'!N46)</f>
        <v/>
      </c>
      <c r="F100" t="str">
        <f>IF('TERM 1'!AC104="","",'TERM 1'!AC104)</f>
        <v/>
      </c>
      <c r="G100" t="str">
        <f>IF('TERM 2'!AC104="","",'TERM 2'!AC104)</f>
        <v/>
      </c>
      <c r="H100" t="str">
        <f>IF('TERM 3'!AC104="","",'TERM 3'!AC104)</f>
        <v/>
      </c>
      <c r="I100" s="1" t="str">
        <f>IF(COUNT(F100,G100,H100)&lt;3,"",ROUND(AVERAGE(F100,G100,H100),0))</f>
        <v/>
      </c>
      <c r="J100" t="str">
        <f t="array" ref="J100">IF(I100="","",IFERROR(INDEX(HELPER!$G$8:$G$48,MATCH(I100,HELPER!$F$8:$F$48,-1)),""))</f>
        <v/>
      </c>
      <c r="K100" t="str" xml:space="preserve">
        <f xml:space="preserve">IF(I100="", "", IF(I100&gt;=75, "Passed", "Failed"))
</f>
        <v/>
      </c>
    </row>
    <row r="101" ht="15" customHeight="1" xml:space="preserve">
      <c r="B101">
        <v>37</v>
      </c>
      <c r="C101" t="str">
        <f>IF('INPUT DATA'!N47="","",'INPUT DATA'!N47)</f>
        <v/>
      </c>
      <c r="F101" t="str">
        <f>IF('TERM 1'!AC105="","",'TERM 1'!AC105)</f>
        <v/>
      </c>
      <c r="G101" t="str">
        <f>IF('TERM 2'!AC105="","",'TERM 2'!AC105)</f>
        <v/>
      </c>
      <c r="H101" t="str">
        <f>IF('TERM 3'!AC105="","",'TERM 3'!AC105)</f>
        <v/>
      </c>
      <c r="I101" s="1" t="str">
        <f>IF(COUNT(F101,G101,H101)&lt;3,"",ROUND(AVERAGE(F101,G101,H101),0))</f>
        <v/>
      </c>
      <c r="J101" t="str">
        <f t="array" ref="J101">IF(I101="","",IFERROR(INDEX(HELPER!$G$8:$G$48,MATCH(I101,HELPER!$F$8:$F$48,-1)),""))</f>
        <v/>
      </c>
      <c r="K101" t="str" xml:space="preserve">
        <f xml:space="preserve">IF(I101="", "", IF(I101&gt;=75, "Passed", "Failed"))
</f>
        <v/>
      </c>
    </row>
    <row r="102" ht="15" customHeight="1" xml:space="preserve">
      <c r="B102">
        <v>38</v>
      </c>
      <c r="C102" t="str">
        <f>IF('INPUT DATA'!N48="","",'INPUT DATA'!N48)</f>
        <v/>
      </c>
      <c r="F102" t="str">
        <f>IF('TERM 1'!AC106="","",'TERM 1'!AC106)</f>
        <v/>
      </c>
      <c r="G102" t="str">
        <f>IF('TERM 2'!AC106="","",'TERM 2'!AC106)</f>
        <v/>
      </c>
      <c r="H102" t="str">
        <f>IF('TERM 3'!AC106="","",'TERM 3'!AC106)</f>
        <v/>
      </c>
      <c r="I102" s="1" t="str">
        <f>IF(COUNT(F102,G102,H102)&lt;3,"",ROUND(AVERAGE(F102,G102,H102),0))</f>
        <v/>
      </c>
      <c r="J102" t="str">
        <f t="array" ref="J102">IF(I102="","",IFERROR(INDEX(HELPER!$G$8:$G$48,MATCH(I102,HELPER!$F$8:$F$48,-1)),""))</f>
        <v/>
      </c>
      <c r="K102" t="str" xml:space="preserve">
        <f xml:space="preserve">IF(I102="", "", IF(I102&gt;=75, "Passed", "Failed"))
</f>
        <v/>
      </c>
    </row>
    <row r="103" ht="15" customHeight="1" xml:space="preserve">
      <c r="B103">
        <v>39</v>
      </c>
      <c r="C103" t="str">
        <f>IF('INPUT DATA'!N49="","",'INPUT DATA'!N49)</f>
        <v/>
      </c>
      <c r="F103" t="str">
        <f>IF('TERM 1'!AC107="","",'TERM 1'!AC107)</f>
        <v/>
      </c>
      <c r="G103" t="str">
        <f>IF('TERM 2'!AC107="","",'TERM 2'!AC107)</f>
        <v/>
      </c>
      <c r="H103" t="str">
        <f>IF('TERM 3'!AC107="","",'TERM 3'!AC107)</f>
        <v/>
      </c>
      <c r="I103" s="1" t="str">
        <f>IF(COUNT(F103,G103,H103)&lt;3,"",ROUND(AVERAGE(F103,G103,H103),0))</f>
        <v/>
      </c>
      <c r="J103" t="str">
        <f t="array" ref="J103">IF(I103="","",IFERROR(INDEX(HELPER!$G$8:$G$48,MATCH(I103,HELPER!$F$8:$F$48,-1)),""))</f>
        <v/>
      </c>
      <c r="K103" t="str" xml:space="preserve">
        <f xml:space="preserve">IF(I103="", "", IF(I103&gt;=75, "Passed", "Failed"))
</f>
        <v/>
      </c>
    </row>
    <row r="104" ht="15" customHeight="1" xml:space="preserve">
      <c r="B104">
        <v>40</v>
      </c>
      <c r="C104" t="str">
        <f>IF('INPUT DATA'!N50="","",'INPUT DATA'!N50)</f>
        <v/>
      </c>
      <c r="F104" t="str">
        <f>IF('TERM 1'!AC108="","",'TERM 1'!AC108)</f>
        <v/>
      </c>
      <c r="G104" t="str">
        <f>IF('TERM 2'!AC108="","",'TERM 2'!AC108)</f>
        <v/>
      </c>
      <c r="H104" t="str">
        <f>IF('TERM 3'!AC108="","",'TERM 3'!AC108)</f>
        <v/>
      </c>
      <c r="I104" s="1" t="str">
        <f>IF(COUNT(F104,G104,H104)&lt;3,"",ROUND(AVERAGE(F104,G104,H104),0))</f>
        <v/>
      </c>
      <c r="J104" t="str">
        <f t="array" ref="J104">IF(I104="","",IFERROR(INDEX(HELPER!$G$8:$G$48,MATCH(I104,HELPER!$F$8:$F$48,-1)),""))</f>
        <v/>
      </c>
      <c r="K104" t="str" xml:space="preserve">
        <f xml:space="preserve">IF(I104="", "", IF(I104&gt;=75, "Passed", "Failed"))
</f>
        <v/>
      </c>
    </row>
    <row r="105" ht="15" customHeight="1" xml:space="preserve">
      <c r="B105">
        <v>41</v>
      </c>
      <c r="C105" t="str">
        <f>IF('INPUT DATA'!N51="","",'INPUT DATA'!N51)</f>
        <v/>
      </c>
      <c r="F105" t="str">
        <f>IF('TERM 1'!AC109="","",'TERM 1'!AC109)</f>
        <v/>
      </c>
      <c r="G105" t="str">
        <f>IF('TERM 2'!AC109="","",'TERM 2'!AC109)</f>
        <v/>
      </c>
      <c r="H105" t="str">
        <f>IF('TERM 3'!AC109="","",'TERM 3'!AC109)</f>
        <v/>
      </c>
      <c r="I105" s="1" t="str">
        <f>IF(COUNT(F105,G105,H105)&lt;3,"",ROUND(AVERAGE(F105,G105,H105),0))</f>
        <v/>
      </c>
      <c r="J105" t="str">
        <f t="array" ref="J105">IF(I105="","",IFERROR(INDEX(HELPER!$G$8:$G$48,MATCH(I105,HELPER!$F$8:$F$48,-1)),""))</f>
        <v/>
      </c>
      <c r="K105" t="str" xml:space="preserve">
        <f xml:space="preserve">IF(I105="", "", IF(I105&gt;=75, "Passed", "Failed"))
</f>
        <v/>
      </c>
    </row>
    <row r="106" ht="15" customHeight="1" xml:space="preserve">
      <c r="B106">
        <v>42</v>
      </c>
      <c r="C106" t="str">
        <f>IF('INPUT DATA'!N52="","",'INPUT DATA'!N52)</f>
        <v/>
      </c>
      <c r="F106" t="str">
        <f>IF('TERM 1'!AC110="","",'TERM 1'!AC110)</f>
        <v/>
      </c>
      <c r="G106" t="str">
        <f>IF('TERM 2'!AC110="","",'TERM 2'!AC110)</f>
        <v/>
      </c>
      <c r="H106" t="str">
        <f>IF('TERM 3'!AC110="","",'TERM 3'!AC110)</f>
        <v/>
      </c>
      <c r="I106" s="1" t="str">
        <f>IF(COUNT(F106,G106,H106)&lt;3,"",ROUND(AVERAGE(F106,G106,H106),0))</f>
        <v/>
      </c>
      <c r="J106" t="str">
        <f t="array" ref="J106">IF(I106="","",IFERROR(INDEX(HELPER!$G$8:$G$48,MATCH(I106,HELPER!$F$8:$F$48,-1)),""))</f>
        <v/>
      </c>
      <c r="K106" t="str" xml:space="preserve">
        <f xml:space="preserve">IF(I106="", "", IF(I106&gt;=75, "Passed", "Failed"))
</f>
        <v/>
      </c>
    </row>
    <row r="107" ht="15" customHeight="1" xml:space="preserve">
      <c r="B107">
        <v>43</v>
      </c>
      <c r="C107" t="str">
        <f>IF('INPUT DATA'!N53="","",'INPUT DATA'!N53)</f>
        <v/>
      </c>
      <c r="F107" t="str">
        <f>IF('TERM 1'!AC111="","",'TERM 1'!AC111)</f>
        <v/>
      </c>
      <c r="G107" t="str">
        <f>IF('TERM 2'!AC111="","",'TERM 2'!AC111)</f>
        <v/>
      </c>
      <c r="H107" t="str">
        <f>IF('TERM 3'!AC111="","",'TERM 3'!AC111)</f>
        <v/>
      </c>
      <c r="I107" s="1" t="str">
        <f>IF(COUNT(F107,G107,H107)&lt;3,"",ROUND(AVERAGE(F107,G107,H107),0))</f>
        <v/>
      </c>
      <c r="J107" t="str">
        <f t="array" ref="J107">IF(I107="","",IFERROR(INDEX(HELPER!$G$8:$G$48,MATCH(I107,HELPER!$F$8:$F$48,-1)),""))</f>
        <v/>
      </c>
      <c r="K107" t="str" xml:space="preserve">
        <f xml:space="preserve">IF(I107="", "", IF(I107&gt;=75, "Passed", "Failed"))
</f>
        <v/>
      </c>
    </row>
    <row r="108" ht="15" customHeight="1" xml:space="preserve">
      <c r="B108">
        <v>44</v>
      </c>
      <c r="C108" t="str">
        <f>IF('INPUT DATA'!N54="","",'INPUT DATA'!N54)</f>
        <v/>
      </c>
      <c r="F108" t="str">
        <f>IF('TERM 1'!AC112="","",'TERM 1'!AC112)</f>
        <v/>
      </c>
      <c r="G108" t="str">
        <f>IF('TERM 2'!AC112="","",'TERM 2'!AC112)</f>
        <v/>
      </c>
      <c r="H108" t="str">
        <f>IF('TERM 3'!AC112="","",'TERM 3'!AC112)</f>
        <v/>
      </c>
      <c r="I108" s="1" t="str">
        <f>IF(COUNT(F108,G108,H108)&lt;3,"",ROUND(AVERAGE(F108,G108,H108),0))</f>
        <v/>
      </c>
      <c r="J108" t="str">
        <f t="array" ref="J108">IF(I108="","",IFERROR(INDEX(HELPER!$G$8:$G$48,MATCH(I108,HELPER!$F$8:$F$48,-1)),""))</f>
        <v/>
      </c>
      <c r="K108" t="str" xml:space="preserve">
        <f xml:space="preserve">IF(I108="", "", IF(I108&gt;=75, "Passed", "Failed"))
</f>
        <v/>
      </c>
    </row>
    <row r="109" ht="15" customHeight="1" xml:space="preserve">
      <c r="B109">
        <v>45</v>
      </c>
      <c r="C109" t="str">
        <f>IF('INPUT DATA'!N55="","",'INPUT DATA'!N55)</f>
        <v/>
      </c>
      <c r="F109" t="str">
        <f>IF('TERM 1'!AC113="","",'TERM 1'!AC113)</f>
        <v/>
      </c>
      <c r="G109" t="str">
        <f>IF('TERM 2'!AC113="","",'TERM 2'!AC113)</f>
        <v/>
      </c>
      <c r="H109" t="str">
        <f>IF('TERM 3'!AC113="","",'TERM 3'!AC113)</f>
        <v/>
      </c>
      <c r="I109" s="1" t="str">
        <f>IF(COUNT(F109,G109,H109)&lt;3,"",ROUND(AVERAGE(F109,G109,H109),0))</f>
        <v/>
      </c>
      <c r="J109" t="str">
        <f t="array" ref="J109">IF(I109="","",IFERROR(INDEX(HELPER!$G$8:$G$48,MATCH(I109,HELPER!$F$8:$F$48,-1)),""))</f>
        <v/>
      </c>
      <c r="K109" t="str" xml:space="preserve">
        <f xml:space="preserve">IF(I109="", "", IF(I109&gt;=75, "Passed", "Failed"))
</f>
        <v/>
      </c>
    </row>
    <row r="110" ht="15" customHeight="1" xml:space="preserve">
      <c r="B110">
        <v>46</v>
      </c>
      <c r="C110" t="str">
        <f>IF('INPUT DATA'!N56="","",'INPUT DATA'!N56)</f>
        <v/>
      </c>
      <c r="F110" t="str">
        <f>IF('TERM 1'!AC114="","",'TERM 1'!AC114)</f>
        <v/>
      </c>
      <c r="G110" t="str">
        <f>IF('TERM 2'!AC114="","",'TERM 2'!AC114)</f>
        <v/>
      </c>
      <c r="H110" t="str">
        <f>IF('TERM 3'!AC114="","",'TERM 3'!AC114)</f>
        <v/>
      </c>
      <c r="I110" s="1" t="str">
        <f>IF(COUNT(F110,G110,H110)&lt;3,"",ROUND(AVERAGE(F110,G110,H110),0))</f>
        <v/>
      </c>
      <c r="J110" t="str">
        <f t="array" ref="J110">IF(I110="","",IFERROR(INDEX(HELPER!$G$8:$G$48,MATCH(I110,HELPER!$F$8:$F$48,-1)),""))</f>
        <v/>
      </c>
      <c r="K110" t="str" xml:space="preserve">
        <f xml:space="preserve">IF(I110="", "", IF(I110&gt;=75, "Passed", "Failed"))
</f>
        <v/>
      </c>
    </row>
    <row r="111" ht="15" customHeight="1" xml:space="preserve">
      <c r="B111">
        <v>47</v>
      </c>
      <c r="C111" t="str">
        <f>IF('INPUT DATA'!N57="","",'INPUT DATA'!N57)</f>
        <v/>
      </c>
      <c r="F111" t="str">
        <f>IF('TERM 1'!AC115="","",'TERM 1'!AC115)</f>
        <v/>
      </c>
      <c r="G111" t="str">
        <f>IF('TERM 2'!AC115="","",'TERM 2'!AC115)</f>
        <v/>
      </c>
      <c r="H111" t="str">
        <f>IF('TERM 3'!AC115="","",'TERM 3'!AC115)</f>
        <v/>
      </c>
      <c r="I111" s="1" t="str">
        <f>IF(COUNT(F111,G111,H111)&lt;3,"",ROUND(AVERAGE(F111,G111,H111),0))</f>
        <v/>
      </c>
      <c r="J111" t="str">
        <f t="array" ref="J111">IF(I111="","",IFERROR(INDEX(HELPER!$G$8:$G$48,MATCH(I111,HELPER!$F$8:$F$48,-1)),""))</f>
        <v/>
      </c>
      <c r="K111" t="str" xml:space="preserve">
        <f xml:space="preserve">IF(I111="", "", IF(I111&gt;=75, "Passed", "Failed"))
</f>
        <v/>
      </c>
    </row>
    <row r="112" ht="15" customHeight="1" xml:space="preserve">
      <c r="B112">
        <v>48</v>
      </c>
      <c r="C112" t="str">
        <f>IF('INPUT DATA'!N58="","",'INPUT DATA'!N58)</f>
        <v/>
      </c>
      <c r="F112" t="str">
        <f>IF('TERM 1'!AC116="","",'TERM 1'!AC116)</f>
        <v/>
      </c>
      <c r="G112" t="str">
        <f>IF('TERM 2'!AC116="","",'TERM 2'!AC116)</f>
        <v/>
      </c>
      <c r="H112" t="str">
        <f>IF('TERM 3'!AC116="","",'TERM 3'!AC116)</f>
        <v/>
      </c>
      <c r="I112" s="1" t="str">
        <f>IF(COUNT(F112,G112,H112)&lt;3,"",ROUND(AVERAGE(F112,G112,H112),0))</f>
        <v/>
      </c>
      <c r="J112" t="str">
        <f t="array" ref="J112">IF(I112="","",IFERROR(INDEX(HELPER!$G$8:$G$48,MATCH(I112,HELPER!$F$8:$F$48,-1)),""))</f>
        <v/>
      </c>
      <c r="K112" t="str" xml:space="preserve">
        <f xml:space="preserve">IF(I112="", "", IF(I112&gt;=75, "Passed", "Failed"))
</f>
        <v/>
      </c>
    </row>
    <row r="113" ht="15" customHeight="1" xml:space="preserve">
      <c r="B113">
        <v>49</v>
      </c>
      <c r="C113" t="str">
        <f>IF('INPUT DATA'!N59="","",'INPUT DATA'!N59)</f>
        <v/>
      </c>
      <c r="F113" t="str">
        <f>IF('TERM 1'!AC117="","",'TERM 1'!AC117)</f>
        <v/>
      </c>
      <c r="G113" t="str">
        <f>IF('TERM 2'!AC117="","",'TERM 2'!AC117)</f>
        <v/>
      </c>
      <c r="H113" t="str">
        <f>IF('TERM 3'!AC117="","",'TERM 3'!AC117)</f>
        <v/>
      </c>
      <c r="I113" s="1" t="str">
        <f>IF(COUNT(F113,G113,H113)&lt;3,"",ROUND(AVERAGE(F113,G113,H113),0))</f>
        <v/>
      </c>
      <c r="J113" t="str">
        <f t="array" ref="J113">IF(I113="","",IFERROR(INDEX(HELPER!$G$8:$G$48,MATCH(I113,HELPER!$F$8:$F$48,-1)),""))</f>
        <v/>
      </c>
      <c r="K113" t="str" xml:space="preserve">
        <f xml:space="preserve">IF(I113="", "", IF(I113&gt;=75, "Passed", "Failed"))
</f>
        <v/>
      </c>
    </row>
    <row r="114" ht="15" customHeight="1" xml:space="preserve">
      <c r="B114">
        <v>50</v>
      </c>
      <c r="C114" t="str">
        <f>IF('INPUT DATA'!N60="","",'INPUT DATA'!N60)</f>
        <v/>
      </c>
      <c r="F114" t="str">
        <f>IF('TERM 1'!AC118="","",'TERM 1'!AC118)</f>
        <v/>
      </c>
      <c r="G114" t="str">
        <f>IF('TERM 2'!AC118="","",'TERM 2'!AC118)</f>
        <v/>
      </c>
      <c r="H114" t="str">
        <f>IF('TERM 3'!AC118="","",'TERM 3'!AC118)</f>
        <v/>
      </c>
      <c r="I114" s="1" t="str">
        <f>IF(COUNT(F114,G114,H114)&lt;3,"",ROUND(AVERAGE(F114,G114,H114),0))</f>
        <v/>
      </c>
      <c r="J114" t="str">
        <f t="array" ref="J114">IF(I114="","",IFERROR(INDEX(HELPER!$G$8:$G$48,MATCH(I114,HELPER!$F$8:$F$48,-1)),""))</f>
        <v/>
      </c>
      <c r="K114" t="str" xml:space="preserve">
        <f xml:space="preserve">IF(I114="", "", IF(I114&gt;=75, "Passed", "Failed"))
</f>
        <v/>
      </c>
    </row>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C65:E65"/>
    <mergeCell ref="C66:E66"/>
    <mergeCell ref="C67:E67"/>
    <mergeCell ref="C68:E68"/>
    <mergeCell ref="B64:K64"/>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ageMargins left="0.7" right="0.7" top="0.75" bottom="0.75" header="0" footer="0"/>
  <ignoredErrors>
    <ignoredError numberStoredAsText="1" sqref="A1:Z1000"/>
  </ignoredErrors>
</worksheet>
</file>

<file path=xl/worksheets/sheet6.xml><?xml version="1.0" encoding="utf-8"?>
<worksheet xmlns="http://schemas.openxmlformats.org/spreadsheetml/2006/main" xmlns:r="http://schemas.openxmlformats.org/officeDocument/2006/relationships">
  <dimension ref="A1:Z1000"/>
  <sheetViews>
    <sheetView workbookViewId="0" rightToLeft="0"/>
  </sheetViews>
  <cols>
    <col min="1" max="1" customWidth="1" width="3.88"/>
    <col min="2" max="2" customWidth="1" width="15.13"/>
    <col min="3" max="3" customWidth="1" width="15.13"/>
    <col min="4" max="4" customWidth="1" width="21.13"/>
    <col min="5" max="5" customWidth="1" width="12.63"/>
    <col min="6" max="6" customWidth="1" width="17.5"/>
    <col min="7" max="7" customWidth="1" width="17.5"/>
    <col min="8" max="8" customWidth="1" width="25.5"/>
    <col min="9" max="9" customWidth="1" width="3.88"/>
  </cols>
  <sheetData>
    <row r="1" ht="12.75" customHeight="1"/>
    <row r="2" ht="36.75" customHeight="1">
      <c r="B2" t="str">
        <v>HELPER</v>
      </c>
    </row>
    <row r="3" ht="36" customHeight="1">
      <c r="B3" t="str">
        <v>IMPORTANT / DO NOT DELETE</v>
      </c>
    </row>
    <row r="4" ht="12.75" customHeight="1"/>
    <row r="5" ht="15.75" customHeight="1"/>
    <row r="6" ht="15.75" customHeight="1">
      <c r="B6" t="str">
        <v>TRANSMUTATION TABLE</v>
      </c>
      <c r="F6" t="str">
        <v>DESCRIPTOR</v>
      </c>
    </row>
    <row r="7" ht="15.75" customHeight="1">
      <c r="B7" t="str">
        <v>IG (Min.)</v>
      </c>
      <c r="C7" t="str">
        <v>IG (Max.)</v>
      </c>
      <c r="D7" t="str">
        <v>Transmuted Grade</v>
      </c>
      <c r="F7" t="str">
        <v>Numerical Grade</v>
      </c>
      <c r="G7" t="str">
        <v>Descriptor</v>
      </c>
      <c r="H7" t="str">
        <v>General Description</v>
      </c>
    </row>
    <row r="8" ht="15.75" customHeight="1">
      <c r="B8" s="4">
        <v>99.5</v>
      </c>
      <c r="C8">
        <v>100</v>
      </c>
      <c r="D8">
        <v>100</v>
      </c>
      <c r="F8">
        <v>100</v>
      </c>
      <c r="G8" t="str">
        <v>Advancing</v>
      </c>
      <c r="H8" t="str">
        <v>Consistently demonstrates skills and understanding that meet or exceed standards with independence, flexibility, and depth.</v>
      </c>
    </row>
    <row r="9" ht="15.75" customHeight="1">
      <c r="B9">
        <v>98.32</v>
      </c>
      <c r="C9">
        <v>99.49</v>
      </c>
      <c r="D9">
        <v>99</v>
      </c>
      <c r="F9">
        <v>99</v>
      </c>
      <c r="G9" t="str">
        <v>Advancing</v>
      </c>
    </row>
    <row r="10" ht="15.75" customHeight="1">
      <c r="B10">
        <v>97.14</v>
      </c>
      <c r="C10">
        <v>98.31</v>
      </c>
      <c r="D10">
        <v>98</v>
      </c>
      <c r="F10">
        <v>98</v>
      </c>
      <c r="G10" t="str">
        <v>Advancing</v>
      </c>
    </row>
    <row r="11" ht="15.75" customHeight="1">
      <c r="B11">
        <v>95.96</v>
      </c>
      <c r="C11">
        <v>97.13</v>
      </c>
      <c r="D11">
        <v>97</v>
      </c>
      <c r="F11">
        <v>97</v>
      </c>
      <c r="G11" t="str">
        <v>Advancing</v>
      </c>
    </row>
    <row r="12" ht="15.75" customHeight="1">
      <c r="B12">
        <v>94.78</v>
      </c>
      <c r="C12">
        <v>95.95</v>
      </c>
      <c r="D12">
        <v>96</v>
      </c>
      <c r="F12">
        <v>96</v>
      </c>
      <c r="G12" t="str">
        <v>Advancing</v>
      </c>
    </row>
    <row r="13" ht="15.75" customHeight="1">
      <c r="B13" s="4">
        <v>93.6</v>
      </c>
      <c r="C13">
        <v>94.77</v>
      </c>
      <c r="D13">
        <v>95</v>
      </c>
      <c r="F13">
        <v>95</v>
      </c>
      <c r="G13" t="str">
        <v>Advancing</v>
      </c>
    </row>
    <row r="14" ht="15.75" customHeight="1">
      <c r="B14">
        <v>92.42</v>
      </c>
      <c r="C14">
        <v>93.59</v>
      </c>
      <c r="D14">
        <v>94</v>
      </c>
      <c r="F14">
        <v>94</v>
      </c>
      <c r="G14" t="str">
        <v>Advancing</v>
      </c>
    </row>
    <row r="15" ht="15.75" customHeight="1">
      <c r="B15">
        <v>91.24</v>
      </c>
      <c r="C15">
        <v>92.41</v>
      </c>
      <c r="D15">
        <v>93</v>
      </c>
      <c r="F15">
        <v>93</v>
      </c>
      <c r="G15" t="str">
        <v>Advancing</v>
      </c>
    </row>
    <row r="16" ht="15.75" customHeight="1">
      <c r="B16">
        <v>90.06</v>
      </c>
      <c r="C16">
        <v>91.23</v>
      </c>
      <c r="D16">
        <v>92</v>
      </c>
      <c r="F16">
        <v>92</v>
      </c>
      <c r="G16" t="str">
        <v>Advancing</v>
      </c>
    </row>
    <row r="17" ht="15.75" customHeight="1">
      <c r="B17">
        <v>88.88</v>
      </c>
      <c r="C17">
        <v>90.05</v>
      </c>
      <c r="D17">
        <v>91</v>
      </c>
      <c r="F17">
        <v>91</v>
      </c>
      <c r="G17" t="str">
        <v>Advancing</v>
      </c>
    </row>
    <row r="18" ht="15.75" customHeight="1">
      <c r="B18" s="4">
        <v>87.7</v>
      </c>
      <c r="C18">
        <v>88.87</v>
      </c>
      <c r="D18">
        <v>90</v>
      </c>
      <c r="F18">
        <v>90</v>
      </c>
      <c r="G18" t="str">
        <v>Advancing</v>
      </c>
    </row>
    <row r="19" ht="15.75" customHeight="1">
      <c r="B19">
        <v>86.52</v>
      </c>
      <c r="C19">
        <v>87.69</v>
      </c>
      <c r="D19">
        <v>89</v>
      </c>
      <c r="F19">
        <v>89</v>
      </c>
      <c r="G19" t="str">
        <v>Benchmarking</v>
      </c>
      <c r="H19" t="str">
        <v>Demonstrates expected grade-level skills and understanding competently and independently.</v>
      </c>
    </row>
    <row r="20" ht="15.75" customHeight="1">
      <c r="B20">
        <v>85.34</v>
      </c>
      <c r="C20">
        <v>86.51</v>
      </c>
      <c r="D20">
        <v>88</v>
      </c>
      <c r="F20">
        <v>88</v>
      </c>
      <c r="G20" t="str">
        <v>Benchmarking</v>
      </c>
    </row>
    <row r="21" ht="15.75" customHeight="1">
      <c r="B21">
        <v>84.16</v>
      </c>
      <c r="C21">
        <v>85.33</v>
      </c>
      <c r="D21">
        <v>87</v>
      </c>
      <c r="F21">
        <v>87</v>
      </c>
      <c r="G21" t="str">
        <v>Benchmarking</v>
      </c>
    </row>
    <row r="22" ht="15.75" customHeight="1">
      <c r="B22">
        <v>82.98</v>
      </c>
      <c r="C22">
        <v>84.15</v>
      </c>
      <c r="D22">
        <v>86</v>
      </c>
      <c r="F22">
        <v>86</v>
      </c>
      <c r="G22" t="str">
        <v>Benchmarking</v>
      </c>
    </row>
    <row r="23" ht="15.75" customHeight="1">
      <c r="B23">
        <v>81.8</v>
      </c>
      <c r="C23">
        <v>82.97</v>
      </c>
      <c r="D23">
        <v>85</v>
      </c>
      <c r="F23">
        <v>85</v>
      </c>
      <c r="G23" t="str">
        <v>Benchmarking</v>
      </c>
    </row>
    <row r="24" ht="15.75" customHeight="1">
      <c r="B24">
        <v>80.62</v>
      </c>
      <c r="C24">
        <v>81.79</v>
      </c>
      <c r="D24">
        <v>84</v>
      </c>
      <c r="F24">
        <v>84</v>
      </c>
      <c r="G24" t="str">
        <v>Benchmarking</v>
      </c>
    </row>
    <row r="25" ht="15.75" customHeight="1">
      <c r="B25">
        <v>79.44</v>
      </c>
      <c r="C25">
        <v>80.61</v>
      </c>
      <c r="D25">
        <v>83</v>
      </c>
      <c r="F25">
        <v>83</v>
      </c>
      <c r="G25" t="str">
        <v>Benchmarking</v>
      </c>
    </row>
    <row r="26" ht="15.75" customHeight="1">
      <c r="B26">
        <v>78.26</v>
      </c>
      <c r="C26">
        <v>79.43</v>
      </c>
      <c r="D26">
        <v>82</v>
      </c>
      <c r="F26">
        <v>82</v>
      </c>
      <c r="G26" t="str">
        <v>Benchmarking</v>
      </c>
    </row>
    <row r="27" ht="15.75" customHeight="1">
      <c r="B27">
        <v>77.08</v>
      </c>
      <c r="C27">
        <v>78.25</v>
      </c>
      <c r="D27">
        <v>81</v>
      </c>
      <c r="F27">
        <v>81</v>
      </c>
      <c r="G27" t="str">
        <v>Benchmarking</v>
      </c>
    </row>
    <row r="28" ht="15.75" customHeight="1">
      <c r="B28">
        <v>75.9</v>
      </c>
      <c r="C28">
        <v>77.07</v>
      </c>
      <c r="D28">
        <v>80</v>
      </c>
      <c r="F28">
        <v>80</v>
      </c>
      <c r="G28" t="str">
        <v>Benchmarking</v>
      </c>
    </row>
    <row r="29" ht="15.75" customHeight="1">
      <c r="B29">
        <v>74.72</v>
      </c>
      <c r="C29">
        <v>75.89</v>
      </c>
      <c r="D29">
        <v>79</v>
      </c>
      <c r="F29">
        <v>79</v>
      </c>
      <c r="G29" t="str">
        <v>Connecting</v>
      </c>
      <c r="H29" t="str">
        <v>Demonstrates sufficient understanding and application of grade-level standards with occasional guidance and support</v>
      </c>
    </row>
    <row r="30" ht="15.75" customHeight="1">
      <c r="B30">
        <v>73.54</v>
      </c>
      <c r="C30">
        <v>74.71</v>
      </c>
      <c r="D30">
        <v>78</v>
      </c>
      <c r="F30">
        <v>78</v>
      </c>
      <c r="G30" t="str">
        <v>Connecting</v>
      </c>
    </row>
    <row r="31" ht="15.75" customHeight="1">
      <c r="B31">
        <v>72.36</v>
      </c>
      <c r="C31">
        <v>73.53</v>
      </c>
      <c r="D31">
        <v>77</v>
      </c>
      <c r="F31">
        <v>77</v>
      </c>
      <c r="G31" t="str">
        <v>Connecting</v>
      </c>
    </row>
    <row r="32" ht="15.75" customHeight="1">
      <c r="B32">
        <v>71.18</v>
      </c>
      <c r="C32">
        <v>72.35</v>
      </c>
      <c r="D32">
        <v>76</v>
      </c>
      <c r="F32">
        <v>76</v>
      </c>
      <c r="G32" t="str">
        <v>Connecting</v>
      </c>
    </row>
    <row r="33" ht="15.75" customHeight="1">
      <c r="B33">
        <v>70</v>
      </c>
      <c r="C33">
        <v>71.17</v>
      </c>
      <c r="D33">
        <v>75</v>
      </c>
      <c r="F33">
        <v>75</v>
      </c>
      <c r="G33" t="str">
        <v>Connecting</v>
      </c>
    </row>
    <row r="34" ht="15" customHeight="1">
      <c r="B34">
        <v>65.34</v>
      </c>
      <c r="C34">
        <v>69.99</v>
      </c>
      <c r="D34">
        <v>74</v>
      </c>
      <c r="F34">
        <v>74</v>
      </c>
      <c r="G34" t="str">
        <v>Developing</v>
      </c>
      <c r="H34" t="str">
        <v>Demonstrates partial understanding and inconsistent application of skills, requires targeted support and scaffolding</v>
      </c>
    </row>
    <row r="35" ht="15" customHeight="1">
      <c r="B35">
        <v>60.67</v>
      </c>
      <c r="C35">
        <v>65.33</v>
      </c>
      <c r="D35">
        <v>73</v>
      </c>
      <c r="F35">
        <v>73</v>
      </c>
      <c r="G35" t="str">
        <v>Developing</v>
      </c>
    </row>
    <row r="36" ht="15" customHeight="1">
      <c r="B36">
        <v>56.01</v>
      </c>
      <c r="C36">
        <v>60.66</v>
      </c>
      <c r="D36">
        <v>72</v>
      </c>
      <c r="F36">
        <v>72</v>
      </c>
      <c r="G36" t="str">
        <v>Developing</v>
      </c>
    </row>
    <row r="37" ht="15" customHeight="1">
      <c r="B37">
        <v>51.34</v>
      </c>
      <c r="C37" s="4">
        <v>56</v>
      </c>
      <c r="D37">
        <v>71</v>
      </c>
      <c r="F37">
        <v>71</v>
      </c>
      <c r="G37" t="str">
        <v>Developing</v>
      </c>
    </row>
    <row r="38" ht="15" customHeight="1">
      <c r="B38">
        <v>46.67</v>
      </c>
      <c r="C38">
        <v>51.33</v>
      </c>
      <c r="D38">
        <v>70</v>
      </c>
      <c r="F38">
        <v>70</v>
      </c>
      <c r="G38" t="str">
        <v>Developing</v>
      </c>
    </row>
    <row r="39" ht="15" customHeight="1">
      <c r="B39">
        <v>42.01</v>
      </c>
      <c r="C39">
        <v>46.66</v>
      </c>
      <c r="D39">
        <v>69</v>
      </c>
      <c r="F39">
        <v>69</v>
      </c>
      <c r="G39" t="str">
        <v>Developing</v>
      </c>
    </row>
    <row r="40" ht="15" customHeight="1">
      <c r="B40">
        <v>37.34</v>
      </c>
      <c r="C40" s="4">
        <v>42</v>
      </c>
      <c r="D40">
        <v>68</v>
      </c>
      <c r="F40">
        <v>68</v>
      </c>
      <c r="G40" t="str">
        <v>Developing</v>
      </c>
    </row>
    <row r="41" ht="15" customHeight="1">
      <c r="B41">
        <v>32.68</v>
      </c>
      <c r="C41">
        <v>37.33</v>
      </c>
      <c r="D41">
        <v>67</v>
      </c>
      <c r="F41">
        <v>67</v>
      </c>
      <c r="G41" t="str">
        <v>Developing</v>
      </c>
    </row>
    <row r="42" ht="15" customHeight="1">
      <c r="B42">
        <v>28.01</v>
      </c>
      <c r="C42">
        <v>32.67</v>
      </c>
      <c r="D42">
        <v>66</v>
      </c>
      <c r="F42">
        <v>66</v>
      </c>
      <c r="G42" t="str">
        <v>Developing</v>
      </c>
    </row>
    <row r="43" ht="15" customHeight="1">
      <c r="B43">
        <v>23.35</v>
      </c>
      <c r="C43" s="4">
        <v>28</v>
      </c>
      <c r="D43">
        <v>65</v>
      </c>
      <c r="F43">
        <v>65</v>
      </c>
      <c r="G43" t="str">
        <v>Developing</v>
      </c>
    </row>
    <row r="44" ht="15" customHeight="1">
      <c r="B44">
        <v>18.68</v>
      </c>
      <c r="C44">
        <v>23.34</v>
      </c>
      <c r="D44">
        <v>64</v>
      </c>
      <c r="F44">
        <v>64</v>
      </c>
      <c r="G44" t="str">
        <v>Emerging</v>
      </c>
      <c r="H44" t="str">
        <v>Does not yet demonstrate foundational skills and understanding; requires intensive support.</v>
      </c>
    </row>
    <row r="45" ht="15" customHeight="1">
      <c r="B45">
        <v>14.01</v>
      </c>
      <c r="C45">
        <v>18.67</v>
      </c>
      <c r="D45">
        <v>63</v>
      </c>
      <c r="F45">
        <v>63</v>
      </c>
      <c r="G45" t="str">
        <v>Emerging</v>
      </c>
    </row>
    <row r="46" ht="15" customHeight="1">
      <c r="B46">
        <v>9.35</v>
      </c>
      <c r="C46" s="4">
        <v>14</v>
      </c>
      <c r="D46">
        <v>62</v>
      </c>
      <c r="F46">
        <v>62</v>
      </c>
      <c r="G46" t="str">
        <v>Emerging</v>
      </c>
    </row>
    <row r="47" ht="15" customHeight="1">
      <c r="B47">
        <v>4.68</v>
      </c>
      <c r="C47">
        <v>9.34</v>
      </c>
      <c r="D47">
        <v>61</v>
      </c>
      <c r="F47">
        <v>61</v>
      </c>
      <c r="G47" t="str">
        <v>Emerging</v>
      </c>
    </row>
    <row r="48" ht="15.75" customHeight="1">
      <c r="B48">
        <v>0</v>
      </c>
      <c r="C48">
        <v>4.67</v>
      </c>
      <c r="D48">
        <v>60</v>
      </c>
      <c r="F48">
        <v>60</v>
      </c>
      <c r="G48" t="str">
        <v>Emerging</v>
      </c>
    </row>
    <row r="49" ht="15" customHeight="1"/>
    <row r="50" ht="1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B6:D6"/>
    <mergeCell ref="F6:H6"/>
    <mergeCell ref="H8:H18"/>
    <mergeCell ref="H19:H28"/>
    <mergeCell ref="H29:H33"/>
    <mergeCell ref="H34:H43"/>
    <mergeCell ref="H44:H48"/>
  </mergeCells>
  <pageMargins left="0.7" right="0.7" top="0.75" bottom="0.75" header="0" footer="0"/>
  <ignoredErrors>
    <ignoredError numberStoredAsText="1" sqref="A1:Z100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6</vt:i4>
      </vt:variant>
    </vt:vector>
  </HeadingPairs>
  <TitlesOfParts>
    <vt:vector size="6" baseType="lpstr">
      <vt:lpstr>INPUT DATA</vt:lpstr>
      <vt:lpstr>TERM 1</vt:lpstr>
      <vt:lpstr>TERM 2</vt:lpstr>
      <vt:lpstr>TERM 3</vt:lpstr>
      <vt:lpstr>FINAL GRADES</vt:lpstr>
      <vt:lpstr>HELPER</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