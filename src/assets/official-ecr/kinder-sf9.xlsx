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ome" sheetId="1" r:id="rId1"/>
    <sheet name="INPUT DATA" sheetId="2" r:id="rId2"/>
    <sheet name="SF9 - KINDER" sheetId="3" r:id="rId3"/>
    <sheet name="TERM 1 SUMMARY" sheetId="4" r:id="rId4"/>
    <sheet name="TERM 2 SUMMARY" sheetId="5" r:id="rId5"/>
    <sheet name="TERM 3 SUMMARY" sheetId="6" r:id="rId6"/>
    <sheet name="KINDER - ATTENDANCE RECORD SUMM" sheetId="7" r:id="rId7"/>
    <sheet name="_SF9_LEARNER_LIST" sheetId="8" r:id="rId8" state="hidden"/>
  </sheets>
  <definedNames>
    <definedName name="SF9Learners">_SF9_LEARNER_LIST!$A$1:INDEX(_SF9_LEARNER_LIST!$A$1:$A$100,MAX(1,COUNTIF(_SF9_LEARNER_LIST!$A$1:$A$100,"?*")))</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4" formatCode="M/d/yyyy"/>
    <numFmt numFmtId="165" formatCode="mm/dd/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4" fontId="0" fillId="0" borderId="0" xfId="0" applyNumberFormat="1"/>
    <xf numFmtId="165"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4A86E8"/>
      </a:hlink>
      <a:folHlink>
        <a:srgbClr val="4A86E8"/>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
  <sheetViews>
    <sheetView workbookViewId="0" rightToLeft="0"/>
  </sheetViews>
  <sheetData/>
  <pageMargins left="0.7" right="0.7" top="0.75" bottom="0.75" header="0" footer="0"/>
  <ignoredErrors>
    <ignoredError numberStoredAsText="1" sqref="A1"/>
  </ignoredErrors>
</worksheet>
</file>

<file path=xl/worksheets/sheet2.xml><?xml version="1.0" encoding="utf-8"?>
<worksheet xmlns="http://schemas.openxmlformats.org/spreadsheetml/2006/main" xmlns:r="http://schemas.openxmlformats.org/officeDocument/2006/relationships">
  <dimension ref="A1:AD1000"/>
  <sheetViews>
    <sheetView workbookViewId="0" rightToLeft="0"/>
  </sheetViews>
  <cols>
    <col min="1" max="1" customWidth="1" width="3.75"/>
    <col min="2" max="2" customWidth="1" width="3.75"/>
    <col min="3" max="3" customWidth="1" width="11.38"/>
    <col min="4" max="4" customWidth="1" width="7.5"/>
    <col min="5" max="5" customWidth="1" width="3.75"/>
    <col min="7" max="7" customWidth="1" width="28.63"/>
    <col min="8" max="8" customWidth="1" width="3.75"/>
    <col min="9" max="9" customWidth="1" width="3.75"/>
    <col min="10" max="10" customWidth="1" width="3.75"/>
    <col min="11" max="11" customWidth="1" width="3.75"/>
    <col min="12" max="12" customWidth="1" width="37.63"/>
    <col min="13" max="13" customWidth="1" width="20.13"/>
    <col min="14" max="14" customWidth="1" width="20.13"/>
    <col min="15" max="15" customWidth="1" width="3.75"/>
    <col min="16" max="16" customWidth="1" width="3.75"/>
    <col min="17" max="17" customWidth="1" width="37.63"/>
    <col min="18" max="18" customWidth="1" width="19.63"/>
    <col min="19" max="19" customWidth="1" width="19.63"/>
    <col min="20" max="20" customWidth="1" width="3.75"/>
    <col min="21" max="21" customWidth="1" width="3.75"/>
  </cols>
  <sheetData>
    <row r="1" ht="15.75" customHeight="1">
      <c r="A1" t="str">
        <v>Input Data Sheet for Electronic-Class Record (ECR) for Class Adviser</v>
      </c>
    </row>
    <row r="2" ht="15.75" customHeight="1"/>
    <row r="3" ht="15.75" customHeight="1"/>
    <row r="4" ht="15.75" customHeight="1"/>
    <row r="5" ht="15.75" customHeight="1"/>
    <row r="6" ht="15.75" customHeight="1"/>
    <row r="7" ht="15.75" customHeight="1">
      <c r="B7" t="str">
        <v>SCHOOL INFORMATION</v>
      </c>
      <c r="J7" t="str">
        <v>LEARNERS' DATA</v>
      </c>
    </row>
    <row r="8" ht="15.75" customHeight="1"/>
    <row r="9" ht="15" customHeight="1"/>
    <row r="10" ht="15" customHeight="1">
      <c r="C10" t="str">
        <v>REGION</v>
      </c>
      <c r="E10" t="str">
        <v>:</v>
      </c>
      <c r="K10" t="str">
        <v>MALE</v>
      </c>
      <c r="M10" t="str">
        <v>LRN</v>
      </c>
      <c r="N10" t="str">
        <v>BIRTHDATE</v>
      </c>
      <c r="P10" t="str">
        <v>FEMALE</v>
      </c>
      <c r="R10" t="str">
        <v>LRN</v>
      </c>
      <c r="S10" t="str">
        <v>BIRTHDATE</v>
      </c>
    </row>
    <row r="11" ht="15" customHeight="1">
      <c r="C11" t="str">
        <v>DIVISION</v>
      </c>
      <c r="E11" t="str">
        <v>:</v>
      </c>
      <c r="K11">
        <v>1</v>
      </c>
      <c r="P11">
        <v>1</v>
      </c>
    </row>
    <row r="12" ht="15" customHeight="1">
      <c r="C12" t="str">
        <v>CITY/MUNICIPALITY</v>
      </c>
      <c r="E12" t="str">
        <v>:</v>
      </c>
      <c r="K12">
        <v>2</v>
      </c>
      <c r="P12">
        <v>2</v>
      </c>
    </row>
    <row r="13" ht="15" customHeight="1">
      <c r="C13" t="str">
        <v>DISTRICT</v>
      </c>
      <c r="E13" t="str">
        <v>:</v>
      </c>
      <c r="K13">
        <v>3</v>
      </c>
      <c r="P13">
        <v>3</v>
      </c>
    </row>
    <row r="14" ht="15" customHeight="1">
      <c r="K14">
        <v>4</v>
      </c>
      <c r="P14">
        <v>4</v>
      </c>
    </row>
    <row r="15" ht="15" customHeight="1">
      <c r="C15" t="str">
        <v>SCHOOL ID</v>
      </c>
      <c r="E15" t="str">
        <v>:</v>
      </c>
      <c r="K15">
        <v>5</v>
      </c>
      <c r="P15">
        <v>5</v>
      </c>
    </row>
    <row r="16" ht="15" customHeight="1">
      <c r="C16" t="str">
        <v>SCHOOL NAME</v>
      </c>
      <c r="E16" t="str">
        <v>:</v>
      </c>
      <c r="K16">
        <v>6</v>
      </c>
      <c r="P16">
        <v>6</v>
      </c>
    </row>
    <row r="17" ht="15" customHeight="1">
      <c r="K17">
        <v>7</v>
      </c>
      <c r="P17">
        <v>7</v>
      </c>
    </row>
    <row r="18" ht="15" customHeight="1">
      <c r="C18" t="str">
        <v>SCHOOL YEAR</v>
      </c>
      <c r="E18" t="str">
        <v>:</v>
      </c>
      <c r="K18">
        <v>8</v>
      </c>
      <c r="P18">
        <v>8</v>
      </c>
    </row>
    <row r="19" ht="15" customHeight="1">
      <c r="C19" t="str">
        <v>SCHOOL HEAD</v>
      </c>
      <c r="E19" t="str">
        <v>:</v>
      </c>
      <c r="K19">
        <v>9</v>
      </c>
      <c r="P19">
        <v>9</v>
      </c>
    </row>
    <row r="20" ht="15" customHeight="1">
      <c r="K20">
        <v>10</v>
      </c>
      <c r="P20">
        <v>10</v>
      </c>
    </row>
    <row r="21" ht="15" customHeight="1">
      <c r="K21">
        <v>11</v>
      </c>
      <c r="P21">
        <v>11</v>
      </c>
    </row>
    <row r="22" ht="15" customHeight="1">
      <c r="K22">
        <v>12</v>
      </c>
      <c r="P22">
        <v>12</v>
      </c>
    </row>
    <row r="23" ht="15" customHeight="1">
      <c r="B23" t="str">
        <v>TEACHER, GRADE LEVEL, SECTION INFORMATION</v>
      </c>
      <c r="K23">
        <v>13</v>
      </c>
      <c r="P23">
        <v>13</v>
      </c>
    </row>
    <row r="24" ht="15" customHeight="1">
      <c r="K24">
        <v>14</v>
      </c>
      <c r="P24">
        <v>14</v>
      </c>
    </row>
    <row r="25" ht="15" customHeight="1">
      <c r="K25">
        <v>15</v>
      </c>
      <c r="P25">
        <v>15</v>
      </c>
    </row>
    <row r="26" ht="15" customHeight="1">
      <c r="C26" t="str">
        <v>ADVISER</v>
      </c>
      <c r="E26" t="str">
        <v>:</v>
      </c>
      <c r="K26">
        <v>16</v>
      </c>
      <c r="P26">
        <v>16</v>
      </c>
    </row>
    <row r="27" ht="15" customHeight="1">
      <c r="C27" t="str">
        <v>GRADE LEVEL</v>
      </c>
      <c r="E27" t="str">
        <v>:</v>
      </c>
      <c r="G27" t="str">
        <v>(Accepts Kinder only)</v>
      </c>
      <c r="K27">
        <v>17</v>
      </c>
      <c r="P27">
        <v>17</v>
      </c>
    </row>
    <row r="28" ht="15" customHeight="1">
      <c r="C28" t="str">
        <v>SECTION</v>
      </c>
      <c r="E28" t="str">
        <v>:</v>
      </c>
      <c r="K28">
        <v>18</v>
      </c>
      <c r="P28">
        <v>18</v>
      </c>
    </row>
    <row r="29" ht="15" customHeight="1">
      <c r="K29">
        <v>19</v>
      </c>
      <c r="P29">
        <v>19</v>
      </c>
    </row>
    <row r="30" ht="15" customHeight="1">
      <c r="C30" t="str">
        <v>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v>
      </c>
      <c r="K30">
        <v>20</v>
      </c>
      <c r="P30">
        <v>20</v>
      </c>
    </row>
    <row r="31" ht="15" customHeight="1">
      <c r="K31">
        <v>21</v>
      </c>
      <c r="P31">
        <v>21</v>
      </c>
    </row>
    <row r="32" ht="15" customHeight="1">
      <c r="K32">
        <v>22</v>
      </c>
      <c r="P32">
        <v>22</v>
      </c>
    </row>
    <row r="33" ht="15" customHeight="1">
      <c r="K33">
        <v>23</v>
      </c>
      <c r="P33">
        <v>23</v>
      </c>
    </row>
    <row r="34" ht="15" customHeight="1">
      <c r="K34">
        <v>24</v>
      </c>
      <c r="P34">
        <v>24</v>
      </c>
    </row>
    <row r="35" ht="15" customHeight="1">
      <c r="K35">
        <v>25</v>
      </c>
      <c r="P35">
        <v>25</v>
      </c>
    </row>
    <row r="36" ht="15" customHeight="1">
      <c r="K36">
        <v>26</v>
      </c>
      <c r="P36">
        <v>26</v>
      </c>
    </row>
    <row r="37" ht="15" customHeight="1">
      <c r="K37">
        <v>27</v>
      </c>
      <c r="P37">
        <v>27</v>
      </c>
    </row>
    <row r="38" ht="15" customHeight="1">
      <c r="K38">
        <v>28</v>
      </c>
      <c r="P38">
        <v>28</v>
      </c>
    </row>
    <row r="39" ht="15" customHeight="1">
      <c r="K39">
        <v>29</v>
      </c>
      <c r="P39">
        <v>29</v>
      </c>
    </row>
    <row r="40" ht="15" customHeight="1">
      <c r="K40">
        <v>30</v>
      </c>
      <c r="P40">
        <v>30</v>
      </c>
    </row>
    <row r="41" ht="15" customHeight="1">
      <c r="K41">
        <v>31</v>
      </c>
      <c r="P41">
        <v>31</v>
      </c>
    </row>
    <row r="42" ht="15" customHeight="1">
      <c r="K42">
        <v>32</v>
      </c>
      <c r="P42">
        <v>32</v>
      </c>
    </row>
    <row r="43" ht="15" customHeight="1">
      <c r="K43">
        <v>33</v>
      </c>
      <c r="P43">
        <v>33</v>
      </c>
    </row>
    <row r="44" ht="15" customHeight="1">
      <c r="K44">
        <v>34</v>
      </c>
      <c r="P44">
        <v>34</v>
      </c>
    </row>
    <row r="45" ht="15" customHeight="1">
      <c r="K45">
        <v>35</v>
      </c>
      <c r="P45">
        <v>35</v>
      </c>
    </row>
    <row r="46" ht="15" customHeight="1">
      <c r="K46">
        <v>36</v>
      </c>
      <c r="P46">
        <v>36</v>
      </c>
    </row>
    <row r="47" ht="15" customHeight="1">
      <c r="K47">
        <v>37</v>
      </c>
      <c r="P47">
        <v>37</v>
      </c>
    </row>
    <row r="48" ht="15" customHeight="1">
      <c r="K48">
        <v>38</v>
      </c>
      <c r="P48">
        <v>38</v>
      </c>
    </row>
    <row r="49" ht="15" customHeight="1">
      <c r="K49">
        <v>39</v>
      </c>
      <c r="P49">
        <v>39</v>
      </c>
    </row>
    <row r="50" ht="15" customHeight="1">
      <c r="K50">
        <v>40</v>
      </c>
      <c r="P50">
        <v>40</v>
      </c>
    </row>
    <row r="51" ht="15" customHeight="1">
      <c r="K51">
        <v>41</v>
      </c>
      <c r="P51">
        <v>41</v>
      </c>
    </row>
    <row r="52" ht="15" customHeight="1">
      <c r="K52">
        <v>42</v>
      </c>
      <c r="P52">
        <v>42</v>
      </c>
    </row>
    <row r="53" ht="15" customHeight="1">
      <c r="K53">
        <v>43</v>
      </c>
      <c r="P53">
        <v>43</v>
      </c>
    </row>
    <row r="54" ht="15" customHeight="1">
      <c r="K54">
        <v>44</v>
      </c>
      <c r="P54">
        <v>44</v>
      </c>
    </row>
    <row r="55" ht="15" customHeight="1">
      <c r="K55">
        <v>45</v>
      </c>
      <c r="P55">
        <v>45</v>
      </c>
    </row>
    <row r="56" ht="15" customHeight="1">
      <c r="K56">
        <v>46</v>
      </c>
      <c r="P56">
        <v>46</v>
      </c>
    </row>
    <row r="57" ht="15" customHeight="1">
      <c r="K57">
        <v>47</v>
      </c>
      <c r="P57">
        <v>47</v>
      </c>
    </row>
    <row r="58" ht="15" customHeight="1">
      <c r="K58">
        <v>48</v>
      </c>
      <c r="P58">
        <v>48</v>
      </c>
    </row>
    <row r="59" ht="15" customHeight="1">
      <c r="K59">
        <v>49</v>
      </c>
      <c r="P59">
        <v>49</v>
      </c>
    </row>
    <row r="60" ht="15" customHeight="1">
      <c r="K60">
        <v>50</v>
      </c>
      <c r="P60">
        <v>50</v>
      </c>
    </row>
    <row r="61" ht="15" customHeight="1"/>
    <row r="62" ht="15" customHeight="1">
      <c r="T62" t="str">
        <v>2026_v1.0</v>
      </c>
    </row>
    <row r="63" ht="1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1:U5"/>
    <mergeCell ref="B7:H8"/>
    <mergeCell ref="J7:T8"/>
    <mergeCell ref="C10:D10"/>
    <mergeCell ref="F10:G10"/>
    <mergeCell ref="C11:D11"/>
    <mergeCell ref="C12:D12"/>
    <mergeCell ref="C18:D18"/>
    <mergeCell ref="C19:D19"/>
    <mergeCell ref="B23:H24"/>
    <mergeCell ref="F26:G26"/>
    <mergeCell ref="C27:D27"/>
    <mergeCell ref="F28:G28"/>
    <mergeCell ref="C30:G32"/>
    <mergeCell ref="C13:D13"/>
    <mergeCell ref="C15:D15"/>
    <mergeCell ref="F15:G15"/>
    <mergeCell ref="C16:D17"/>
    <mergeCell ref="E16:E17"/>
    <mergeCell ref="F16:G17"/>
    <mergeCell ref="F18:G18"/>
    <mergeCell ref="F19:G19"/>
  </mergeCells>
  <pageMargins left="0.7" right="0.7" top="0.75" bottom="0.75" header="0" footer="0"/>
  <ignoredErrors>
    <ignoredError numberStoredAsText="1" sqref="A1:AD1000"/>
  </ignoredErrors>
</worksheet>
</file>

<file path=xl/worksheets/sheet3.xml><?xml version="1.0" encoding="utf-8"?>
<worksheet xmlns="http://schemas.openxmlformats.org/spreadsheetml/2006/main" xmlns:r="http://schemas.openxmlformats.org/officeDocument/2006/relationships">
  <dimension ref="A1:AE1002"/>
  <sheetViews>
    <sheetView workbookViewId="0" rightToLeft="0"/>
  </sheetViews>
  <cols>
    <col min="1" max="1" customWidth="1" width="3.13"/>
    <col min="2" max="2" customWidth="1" width="3.13"/>
    <col min="3" max="3" customWidth="1" width="8.63"/>
    <col min="4" max="4" customWidth="1" width="10.13"/>
    <col min="5" max="5" customWidth="1" width="18.75"/>
    <col min="6" max="6" customWidth="1" width="17"/>
    <col min="7" max="7" customWidth="1" width="32.63"/>
    <col min="8" max="8" customWidth="1" width="8.5"/>
    <col min="9" max="9" customWidth="1" width="8.5"/>
    <col min="10" max="10" customWidth="1" width="8.5"/>
    <col min="11" max="11" customWidth="1" width="3.75"/>
    <col min="12" max="12" customWidth="1" width="3.75"/>
    <col min="13" max="13" customWidth="1" width="42.13"/>
    <col min="14" max="14" customWidth="1" width="20.13"/>
    <col min="15" max="15" customWidth="1" width="12"/>
    <col min="16" max="16" customWidth="1" width="12"/>
    <col min="17" max="17" customWidth="1" width="12"/>
    <col min="18" max="18" customWidth="1" width="6.5"/>
    <col min="19" max="19" customWidth="1" width="3.13"/>
    <col min="20" max="20" customWidth="1" width="3.38"/>
    <col min="21" max="21" customWidth="1" width="0.13" hidden="true"/>
    <col min="22" max="22" customWidth="1" width="0.13" hidden="true"/>
  </cols>
  <sheetData>
    <row r="1"/>
    <row r="2" ht="15.75" customHeight="1"/>
    <row r="3" ht="15.75" customHeight="1"/>
    <row r="4" ht="15.75" customHeight="1"/>
    <row r="5" ht="15.75" customHeight="1">
      <c r="C5" t="str">
        <v>Republic of the Philippines</v>
      </c>
    </row>
    <row r="6" ht="15.75" customHeight="1">
      <c r="C6" t="str">
        <v>Department of Education</v>
      </c>
    </row>
    <row r="7" ht="15.75" customHeight="1">
      <c r="C7" t="str">
        <v>Region</v>
      </c>
    </row>
    <row r="8" ht="15.75" customHeight="1">
      <c r="C8" t="str">
        <v xml:space="preserve">SCHOOLS DIVISION OFFICE OF_________ </v>
      </c>
    </row>
    <row r="9" ht="15.75" customHeight="1"/>
    <row r="10" ht="15.75" customHeight="1">
      <c r="C10" t="str">
        <v>District</v>
      </c>
    </row>
    <row r="11" ht="15.75" customHeight="1">
      <c r="C11" t="str">
        <v>Municipality/City, Province</v>
      </c>
    </row>
    <row r="12" ht="15.75" customHeight="1"/>
    <row r="13" ht="15.75" customHeight="1">
      <c r="C13" t="str">
        <v>ABC ELEMENTARY SCHOOL</v>
      </c>
    </row>
    <row r="14" ht="15.75" customHeight="1"/>
    <row r="15" ht="15.75" customHeight="1">
      <c r="C15" t="str">
        <v>KINDERGARTEN PROGRESS REPORT CARD</v>
      </c>
    </row>
    <row r="16" ht="15.75" customHeight="1">
      <c r="C16" t="str">
        <v>School Year 2026-2027</v>
      </c>
    </row>
    <row r="17" ht="15.75" customHeight="1"/>
    <row r="18" ht="27" customHeight="1">
      <c r="D18" t="str">
        <v>Name:</v>
      </c>
      <c r="H18" t="str">
        <v>LRN:</v>
      </c>
      <c r="J18" t="str">
        <f>IFERROR(VLOOKUP($E$18,'TERM 1 SUMMARY'!$C$16:$BT$114,4,FALSE()),"")</f>
        <v/>
      </c>
    </row>
    <row r="19" ht="27" customHeight="1">
      <c r="D19" t="str">
        <v>Section:</v>
      </c>
      <c r="E19" t="str">
        <f>IF('INPUT DATA'!F28="","",'INPUT DATA'!F28)</f>
        <v/>
      </c>
      <c r="H19" t="str">
        <v>Teacher:</v>
      </c>
      <c r="J19" t="str">
        <f>IF('INPUT DATA'!F26="","",'INPUT DATA'!F26)</f>
        <v/>
      </c>
    </row>
    <row r="20" ht="27" customHeight="1">
      <c r="D20" t="str">
        <v>Age of the Child (Beginning of SY): Years:</v>
      </c>
      <c r="G20" t="str">
        <f>IFERROR(VLOOKUP($E$18,'TERM 1 SUMMARY'!$C$16:$BT$114,7,FALSE()),"")</f>
        <v/>
      </c>
      <c r="H20" t="str">
        <v>Months:</v>
      </c>
      <c r="J20" t="str">
        <f>IFERROR(VLOOKUP($E$18,'TERM 1 SUMMARY'!$C$16:$BT$114,8,FALSE()),"")</f>
        <v/>
      </c>
      <c r="L20" t="str">
        <v>Age of the Child (Beginning of SY): Years:</v>
      </c>
      <c r="N20" t="str">
        <f>IFERROR(VLOOKUP($E$18,'TERM 1 SUMMARY'!$C$16:$BT$114,9,FALSE()),"")</f>
        <v/>
      </c>
      <c r="O20" t="str">
        <v>Months:</v>
      </c>
      <c r="P20" t="str">
        <f>IFERROR(VLOOKUP($E$18,'TERM 1 SUMMARY'!$C$16:$BT$114,10,FALSE()),"")</f>
        <v/>
      </c>
    </row>
    <row r="21" ht="15.75" customHeight="1"/>
    <row r="22" ht="51" customHeight="1">
      <c r="D22" t="str">
        <v>This progress report informs parents about their child's learning achievements based on the Kindergarten Curriculum Guide. It provides a summary of the child's performance and indicate their level of progress across different developmental domains every ten (10) weeks or each term. The report also helps determine whether additional time and follow-up support are needed for the child to achieve the expected competencies. Each competency is marked as: BG - Beginning, DV - Developing, and CO - Consistent.</v>
      </c>
    </row>
    <row r="23" ht="15.75" customHeight="1"/>
    <row r="24" ht="29.25" customHeight="1">
      <c r="D24" t="str">
        <v>Competency</v>
      </c>
      <c r="H24" t="str">
        <v>Rating</v>
      </c>
      <c r="L24" t="str">
        <v>Competency</v>
      </c>
      <c r="O24" t="str">
        <v>Rating</v>
      </c>
    </row>
    <row r="25" ht="29.25" customHeight="1">
      <c r="H25" t="str">
        <v>T1</v>
      </c>
      <c r="I25" t="str">
        <v>T2</v>
      </c>
      <c r="J25" t="str">
        <v>T3</v>
      </c>
      <c r="O25" t="str">
        <v>T1</v>
      </c>
      <c r="P25" t="str">
        <v>T2</v>
      </c>
      <c r="Q25" t="str">
        <v>T3</v>
      </c>
    </row>
    <row r="26" ht="30" customHeight="1">
      <c r="D26" s="1" t="str">
        <v>I. Sensory Perceptual and Motor Development</v>
      </c>
      <c r="L26" t="str">
        <v>IV. Language, Literacy, and Communication Development</v>
      </c>
    </row>
    <row r="27" ht="30" customHeight="1">
      <c r="D27" s="1" t="str">
        <v>1. Identifies external body parts and their functions</v>
      </c>
      <c r="H27" t="str">
        <f>IFERROR(VLOOKUP($E$18,'TERM 1 SUMMARY'!$C$16:$BT$114,12,FALSE()),"")</f>
        <v/>
      </c>
      <c r="I27" t="str">
        <f>IFERROR(VLOOKUP($E$18,'TERM 2 SUMMARY'!$C$16:$BT$114,12,FALSE()),"")</f>
        <v/>
      </c>
      <c r="J27" t="str">
        <f>IFERROR(VLOOKUP($E$18,'TERM 3 SUMMARY'!$C$16:$BU$114,12,FALSE()),"")</f>
        <v/>
      </c>
      <c r="L27" t="str">
        <v>A. Listening and Viewing</v>
      </c>
    </row>
    <row r="28" ht="30" customHeight="1">
      <c r="D28" s="1" t="str">
        <v>2. Identifies ways to care for and protects one’s body</v>
      </c>
      <c r="H28" t="str">
        <f>IFERROR(VLOOKUP($E$18,'TERM 1 SUMMARY'!$C$16:$BT$114,13,FALSE()),"")</f>
        <v/>
      </c>
      <c r="I28" t="str">
        <f>IFERROR(VLOOKUP($E$18,'TERM 2 SUMMARY'!$C$16:$BT$114,13,FALSE()),"")</f>
        <v/>
      </c>
      <c r="J28" t="str">
        <f>IFERROR(VLOOKUP($E$18,'TERM 3 SUMMARY'!$C$16:$BU$114,13,FALSE()),"")</f>
        <v/>
      </c>
      <c r="L28" t="str">
        <v>1. Identifies familiar environmental sound</v>
      </c>
      <c r="O28" t="str">
        <f>IFERROR(VLOOKUP($E$18,'TERM 1 SUMMARY'!$C$16:$BT$114,44,FALSE()),"")</f>
        <v/>
      </c>
      <c r="P28" t="str">
        <f>IFERROR(VLOOKUP($E$18,'TERM 2 SUMMARY'!$C$16:$BT$114,44,FALSE()),"")</f>
        <v/>
      </c>
      <c r="Q28" t="str">
        <f>IFERROR(VLOOKUP($E$18,'TERM 3 SUMMARY'!$C$16:$BU$114,44,FALSE()),"")</f>
        <v/>
      </c>
    </row>
    <row r="29" ht="30" customHeight="1">
      <c r="D29" s="1" t="str">
        <v>3. Demonstrates gross motor skills (locomotor, non-locomotor)</v>
      </c>
      <c r="H29" t="str">
        <f>IFERROR(VLOOKUP($E$18,'TERM 1 SUMMARY'!$C$16:$BT$114,14,FALSE()),"")</f>
        <v/>
      </c>
      <c r="I29" t="str">
        <f>IFERROR(VLOOKUP($E$18,'TERM 2 SUMMARY'!$C$16:$BT$114,14,FALSE()),"")</f>
        <v/>
      </c>
      <c r="J29" t="str">
        <f>IFERROR(VLOOKUP($E$18,'TERM 3 SUMMARY'!$C$16:$BU$114,14,FALSE()),"")</f>
        <v/>
      </c>
      <c r="L29" t="str">
        <v>2. Recalls what happens first, middle and end in a story</v>
      </c>
      <c r="O29" t="str">
        <f>IFERROR(VLOOKUP($E$18,'TERM 1 SUMMARY'!$C$16:$BT$114,45,FALSE()),"")</f>
        <v/>
      </c>
      <c r="P29" t="str">
        <f>IFERROR(VLOOKUP($E$18,'TERM 2 SUMMARY'!$C$16:$BT$114,45,FALSE()),"")</f>
        <v/>
      </c>
      <c r="Q29" t="str">
        <f>IFERROR(VLOOKUP($E$18,'TERM 3 SUMMARY'!$C$16:$BU$114,45,FALSE()),"")</f>
        <v/>
      </c>
    </row>
    <row r="30" ht="30" customHeight="1">
      <c r="D30" s="1" t="str">
        <v>4. Moves body parts as directed</v>
      </c>
      <c r="H30" t="str">
        <f>IFERROR(VLOOKUP($E$18,'TERM 1 SUMMARY'!$C$16:$BT$114,15,FALSE()),"")</f>
        <v/>
      </c>
      <c r="I30" t="str">
        <f>IFERROR(VLOOKUP($E$18,'TERM 2 SUMMARY'!$C$16:$BT$114,15,FALSE()),"")</f>
        <v/>
      </c>
      <c r="J30" t="str">
        <f>IFERROR(VLOOKUP($E$18,'TERM 3 SUMMARY'!$C$16:$BU$114,15,FALSE()),"")</f>
        <v/>
      </c>
      <c r="L30" t="str">
        <v>3. Retells story in sequence</v>
      </c>
      <c r="O30" t="str">
        <f>IFERROR(VLOOKUP($E$18,'TERM 1 SUMMARY'!$C$16:$BT$114,46,FALSE()),"")</f>
        <v/>
      </c>
      <c r="P30" t="str">
        <f>IFERROR(VLOOKUP($E$18,'TERM 2 SUMMARY'!$C$16:$BT$114,46,FALSE()),"")</f>
        <v/>
      </c>
      <c r="Q30" t="str">
        <f>IFERROR(VLOOKUP($E$18,'TERM 3 SUMMARY'!$C$16:$BU$114,46,FALSE()),"")</f>
        <v/>
      </c>
    </row>
    <row r="31" ht="39.75" customHeight="1">
      <c r="D31" s="1" t="str">
        <v>5. Demonstrates fine motor skills (tearing, cutting, rolling, molding with playdough)</v>
      </c>
      <c r="H31" t="str">
        <f>IFERROR(VLOOKUP($E$18,'TERM 1 SUMMARY'!$C$16:$BT$114,16,FALSE()),"")</f>
        <v/>
      </c>
      <c r="I31" t="str">
        <f>IFERROR(VLOOKUP($E$18,'TERM 2 SUMMARY'!$C$16:$BT$114,16,FALSE()),"")</f>
        <v/>
      </c>
      <c r="J31" t="str">
        <f>IFERROR(VLOOKUP($E$18,'TERM 3 SUMMARY'!$C$16:$BU$114,16,FALSE()),"")</f>
        <v/>
      </c>
      <c r="L31" t="str">
        <v>4. Follows 1-2 step instructions</v>
      </c>
      <c r="O31" t="str">
        <f>IFERROR(VLOOKUP($E$18,'TERM 1 SUMMARY'!$C$16:$BT$114,47,FALSE()),"")</f>
        <v/>
      </c>
      <c r="P31" t="str">
        <f>IFERROR(VLOOKUP($E$18,'TERM 2 SUMMARY'!$C$16:$BT$114,47,FALSE()),"")</f>
        <v/>
      </c>
      <c r="Q31" t="str">
        <f>IFERROR(VLOOKUP($E$18,'TERM 3 SUMMARY'!$C$16:$BU$114,47,FALSE()),"")</f>
        <v/>
      </c>
    </row>
    <row r="32" ht="30" customHeight="1">
      <c r="D32" t="str">
        <v>II. Socio-emotional Development</v>
      </c>
      <c r="L32" t="str">
        <v>B. Sight Word Recognition</v>
      </c>
    </row>
    <row r="33" ht="39.75" customHeight="1">
      <c r="D33" t="str">
        <v>1. Identifies and expresses feelings in appropriate ways</v>
      </c>
      <c r="H33" t="str">
        <f>IFERROR(VLOOKUP($E$18,'TERM 1 SUMMARY'!$C$16:$BT$114,17,FALSE()),"")</f>
        <v/>
      </c>
      <c r="I33" t="str">
        <f>IFERROR(VLOOKUP($E$18,'TERM 2 SUMMARY'!$C$16:$BT$114,17,FALSE()),"")</f>
        <v/>
      </c>
      <c r="J33" t="str">
        <f>IFERROR(VLOOKUP($E$18,'TERM 3 SUMMARY'!$C$16:$BU$114,17,FALSE()),"")</f>
        <v/>
      </c>
      <c r="L33" t="str">
        <v>5. Recognizes non-decodable words in and out of context automatically</v>
      </c>
      <c r="O33" t="str">
        <f>IFERROR(VLOOKUP($E$18,'TERM 1 SUMMARY'!$C$16:$BT$114,48,FALSE()),"")</f>
        <v/>
      </c>
      <c r="P33" t="str">
        <f>IFERROR(VLOOKUP($E$18,'TERM 2 SUMMARY'!$C$16:$BT$114,48,FALSE()),"")</f>
        <v/>
      </c>
      <c r="Q33" t="str">
        <f>IFERROR(VLOOKUP($E$18,'TERM 3 SUMMARY'!$C$16:$BU$114,48,FALSE()),"")</f>
        <v/>
      </c>
    </row>
    <row r="34" ht="30" customHeight="1">
      <c r="D34" t="str">
        <v>2. Recognizes and respect feelings of others</v>
      </c>
      <c r="H34" t="str">
        <f>IFERROR(VLOOKUP($E$18,'TERM 1 SUMMARY'!$C$16:$BT$114,18,FALSE()),"")</f>
        <v/>
      </c>
      <c r="I34" t="str">
        <f>IFERROR(VLOOKUP($E$18,'TERM 2 SUMMARY'!$C$16:$BT$114,18,FALSE()),"")</f>
        <v/>
      </c>
      <c r="J34" t="str">
        <f>IFERROR(VLOOKUP($E$18,'TERM 3 SUMMARY'!$C$16:$BU$114,18,FALSE()),"")</f>
        <v/>
      </c>
      <c r="L34" t="str">
        <v>6. Recognizes sight words</v>
      </c>
      <c r="O34" t="str">
        <f>IFERROR(VLOOKUP($E$18,'TERM 1 SUMMARY'!$C$16:$BT$114,49,FALSE()),"")</f>
        <v/>
      </c>
      <c r="P34" t="str">
        <f>IFERROR(VLOOKUP($E$18,'TERM 2 SUMMARY'!$C$16:$BT$114,49,FALSE()),"")</f>
        <v/>
      </c>
      <c r="Q34" t="str">
        <f>IFERROR(VLOOKUP($E$18,'TERM 3 SUMMARY'!$C$16:$BU$114,49,FALSE()),"")</f>
        <v/>
      </c>
    </row>
    <row r="35" ht="30" customHeight="1">
      <c r="D35" t="str">
        <v>3. Expresses needs and preferences</v>
      </c>
      <c r="H35" t="str">
        <f>IFERROR(VLOOKUP($E$18,'TERM 1 SUMMARY'!$C$16:$BT$114,19,FALSE()),"")</f>
        <v/>
      </c>
      <c r="I35" t="str">
        <f>IFERROR(VLOOKUP($E$18,'TERM 2 SUMMARY'!$C$16:$BT$114,19,FALSE()),"")</f>
        <v/>
      </c>
      <c r="J35" t="str">
        <f>IFERROR(VLOOKUP($E$18,'TERM 3 SUMMARY'!$C$16:$BU$114,19,FALSE()),"")</f>
        <v/>
      </c>
      <c r="L35" t="str">
        <v>C. Speaking</v>
      </c>
    </row>
    <row r="36" ht="30" customHeight="1">
      <c r="D36" t="str">
        <v>4. Behaves appropriately in different situations</v>
      </c>
      <c r="H36" t="str">
        <f>IFERROR(VLOOKUP($E$18,'TERM 1 SUMMARY'!$C$16:$BT$114,20,FALSE()),"")</f>
        <v/>
      </c>
      <c r="I36" t="str">
        <f>IFERROR(VLOOKUP($E$18,'TERM 2 SUMMARY'!$C$16:$BT$114,20,FALSE()),"")</f>
        <v/>
      </c>
      <c r="J36" t="str">
        <f>IFERROR(VLOOKUP($E$18,'TERM 3 SUMMARY'!$C$16:$BU$114,20,FALSE()),"")</f>
        <v/>
      </c>
      <c r="L36" t="str">
        <v>7. Identifies first and last name</v>
      </c>
      <c r="O36" t="str">
        <f>IFERROR(VLOOKUP($E$18,'TERM 1 SUMMARY'!$C$16:$BT$114,50,FALSE()),"")</f>
        <v/>
      </c>
      <c r="P36" t="str">
        <f>IFERROR(VLOOKUP($E$18,'TERM 2 SUMMARY'!$C$16:$BT$114,50,FALSE()),"")</f>
        <v/>
      </c>
      <c r="Q36" t="str">
        <f>IFERROR(VLOOKUP($E$18,'TERM 3 SUMMARY'!$C$16:$BU$114,50,FALSE()),"")</f>
        <v/>
      </c>
    </row>
    <row r="37" ht="30" customHeight="1">
      <c r="D37" t="str">
        <v>5. Participates in classroom routines and activities</v>
      </c>
      <c r="H37" t="str">
        <f>IFERROR(VLOOKUP($E$18,'TERM 1 SUMMARY'!$C$16:$BT$114,21,FALSE()),"")</f>
        <v/>
      </c>
      <c r="I37" t="str">
        <f>IFERROR(VLOOKUP($E$18,'TERM 2 SUMMARY'!$C$16:$BT$114,21,FALSE()),"")</f>
        <v/>
      </c>
      <c r="J37" t="str">
        <f>IFERROR(VLOOKUP($E$18,'TERM 3 SUMMARY'!$C$16:$BU$114,21,FALSE()),"")</f>
        <v/>
      </c>
      <c r="L37" t="str">
        <v>8. Identifies classmates, teachers, family member</v>
      </c>
      <c r="O37" t="str">
        <f>IFERROR(VLOOKUP($E$18,'TERM 1 SUMMARY'!$C$16:$BT$114,51,FALSE()),"")</f>
        <v/>
      </c>
      <c r="P37" t="str">
        <f>IFERROR(VLOOKUP($E$18,'TERM 2 SUMMARY'!$C$16:$BT$114,51,FALSE()),"")</f>
        <v/>
      </c>
      <c r="Q37" t="str">
        <f>IFERROR(VLOOKUP($E$18,'TERM 3 SUMMARY'!$C$16:$BU$114,51,FALSE()),"")</f>
        <v/>
      </c>
    </row>
    <row r="38" ht="39.75" customHeight="1">
      <c r="D38" t="str">
        <v>6. Follows classroom and school rules</v>
      </c>
      <c r="H38" t="str">
        <f>IFERROR(VLOOKUP($E$18,'TERM 1 SUMMARY'!$C$16:$BT$114,22,FALSE()),"")</f>
        <v/>
      </c>
      <c r="I38" t="str">
        <f>IFERROR(VLOOKUP($E$18,'TERM 2 SUMMARY'!$C$16:$BT$114,22,FALSE()),"")</f>
        <v/>
      </c>
      <c r="J38" t="str">
        <f>IFERROR(VLOOKUP($E$18,'TERM 3 SUMMARY'!$C$16:$BU$114,22,FALSE()),"")</f>
        <v/>
      </c>
      <c r="L38" t="str">
        <v>9. Identifies familiar objects at home, in school and in the community</v>
      </c>
      <c r="O38" t="str">
        <f>IFERROR(VLOOKUP($E$18,'TERM 1 SUMMARY'!$C$16:$BT$114,52,FALSE()),"")</f>
        <v/>
      </c>
      <c r="P38" t="str">
        <f>IFERROR(VLOOKUP($E$18,'TERM 2 SUMMARY'!$C$16:$BT$114,52,FALSE()),"")</f>
        <v/>
      </c>
      <c r="Q38" t="str">
        <f>IFERROR(VLOOKUP($E$18,'TERM 3 SUMMARY'!$C$16:$BU$114,52,FALSE()),"")</f>
        <v/>
      </c>
    </row>
    <row r="39" ht="39.75" customHeight="1">
      <c r="D39" t="str">
        <v>7. Fulfills classroom responsibilities</v>
      </c>
      <c r="H39" t="str">
        <f>IFERROR(VLOOKUP($E$18,'TERM 1 SUMMARY'!$C$16:$BT$114,23,FALSE()),"")</f>
        <v/>
      </c>
      <c r="I39" t="str">
        <f>IFERROR(VLOOKUP($E$18,'TERM 2 SUMMARY'!$C$16:$BT$114,23,FALSE()),"")</f>
        <v/>
      </c>
      <c r="J39" t="str">
        <f>IFERROR(VLOOKUP($E$18,'TERM 3 SUMMARY'!$C$16:$BU$114,23,FALSE()),"")</f>
        <v/>
      </c>
      <c r="L39" t="str">
        <v>10. Uses polite greetings and courteous expressions in varied situations</v>
      </c>
      <c r="O39" t="str">
        <f>IFERROR(VLOOKUP($E$18,'TERM 1 SUMMARY'!$C$16:$BT$114,53,FALSE()),"")</f>
        <v/>
      </c>
      <c r="P39" t="str">
        <f>IFERROR(VLOOKUP($E$18,'TERM 2 SUMMARY'!$C$16:$BT$114,53,FALSE()),"")</f>
        <v/>
      </c>
      <c r="Q39" t="str">
        <f>IFERROR(VLOOKUP($E$18,'TERM 3 SUMMARY'!$C$16:$BU$114,53,FALSE()),"")</f>
        <v/>
      </c>
    </row>
    <row r="40" ht="30" customHeight="1">
      <c r="D40" t="str">
        <v>III. Cognitive Development</v>
      </c>
      <c r="L40" t="str">
        <v>11. Retells personal experiences to story events</v>
      </c>
      <c r="O40" t="str">
        <f>IFERROR(VLOOKUP($E$18,'TERM 1 SUMMARY'!$C$16:$BT$114,54,FALSE()),"")</f>
        <v/>
      </c>
      <c r="P40" t="str">
        <f>IFERROR(VLOOKUP($E$18,'TERM 2 SUMMARY'!$C$16:$BT$114,54,FALSE()),"")</f>
        <v/>
      </c>
      <c r="Q40" t="str">
        <f>IFERROR(VLOOKUP($E$18,'TERM 3 SUMMARY'!$C$16:$BU$114,54,FALSE()),"")</f>
        <v/>
      </c>
    </row>
    <row r="41" ht="39.75" customHeight="1">
      <c r="D41" t="str">
        <v>1. Identifies attributes of objects (color, shape, size)</v>
      </c>
      <c r="H41" t="str">
        <f>IFERROR(VLOOKUP($E$18,'TERM 1 SUMMARY'!$C$16:$BT$114,24,FALSE()),"")</f>
        <v/>
      </c>
      <c r="I41" t="str">
        <f>IFERROR(VLOOKUP($E$18,'TERM 2 SUMMARY'!$C$16:$BT$114,24,FALSE()),"")</f>
        <v/>
      </c>
      <c r="J41" t="str">
        <f>IFERROR(VLOOKUP($E$18,'TERM 3 SUMMARY'!$C$16:$BU$114,24,FALSE()),"")</f>
        <v/>
      </c>
      <c r="L41" t="str">
        <v>12. Expresses ideas and feelings using phrases and simple sentences</v>
      </c>
      <c r="O41" t="str">
        <f>IFERROR(VLOOKUP($E$18,'TERM 1 SUMMARY'!$C$16:$BT$114,55,FALSE()),"")</f>
        <v/>
      </c>
      <c r="P41" t="str">
        <f>IFERROR(VLOOKUP($E$18,'TERM 2 SUMMARY'!$C$16:$BT$114,55,FALSE()),"")</f>
        <v/>
      </c>
      <c r="Q41" t="str">
        <f>IFERROR(VLOOKUP($E$18,'TERM 3 SUMMARY'!$C$16:$BU$114,55,FALSE()),"")</f>
        <v/>
      </c>
    </row>
    <row r="42" ht="30" customHeight="1">
      <c r="D42" t="str">
        <v>2. Matches objects based on attributes</v>
      </c>
      <c r="H42" t="str">
        <f>IFERROR(VLOOKUP($E$18,'TERM 1 SUMMARY'!$C$16:$BT$114,25,FALSE()),"")</f>
        <v/>
      </c>
      <c r="I42" t="str">
        <f>IFERROR(VLOOKUP($E$18,'TERM 2 SUMMARY'!$C$16:$BT$114,25,FALSE()),"")</f>
        <v/>
      </c>
      <c r="J42" t="str">
        <f>IFERROR(VLOOKUP($E$18,'TERM 3 SUMMARY'!$C$16:$BU$114,25,FALSE()),"")</f>
        <v/>
      </c>
      <c r="L42" t="str">
        <v>D. Reading</v>
      </c>
    </row>
    <row r="43" ht="39.75" customHeight="1" xml:space="preserve">
      <c r="D43" t="str" xml:space="preserve">
        <v xml:space="preserve">3. Describes objects based on attributes 
(shape, color, taste, texture)</v>
      </c>
      <c r="H43" t="str">
        <f>IFERROR(VLOOKUP($E$18,'TERM 1 SUMMARY'!$C$16:$BT$114,26,FALSE()),"")</f>
        <v/>
      </c>
      <c r="I43" t="str">
        <f>IFERROR(VLOOKUP($E$18,'TERM 2 SUMMARY'!$C$16:$BT$114,26,FALSE()),"")</f>
        <v/>
      </c>
      <c r="J43" t="str">
        <f>IFERROR(VLOOKUP($E$18,'TERM 3 SUMMARY'!$C$16:$BU$114,26,FALSE()),"")</f>
        <v/>
      </c>
      <c r="L43" t="str">
        <v>Phonological/Phonemic Awareness</v>
      </c>
    </row>
    <row r="44" ht="63" customHeight="1" xml:space="preserve">
      <c r="D44" t="str" xml:space="preserve">
        <v xml:space="preserve">4. Classifies objects by a single attribute
(color, shape, size)</v>
      </c>
      <c r="H44" t="str">
        <f>IFERROR(VLOOKUP($E$18,'TERM 1 SUMMARY'!$C$16:$BT$114,27,FALSE()),"")</f>
        <v/>
      </c>
      <c r="I44" t="str">
        <f>IFERROR(VLOOKUP($E$18,'TERM 2 SUMMARY'!$C$16:$BT$114,27,FALSE()),"")</f>
        <v/>
      </c>
      <c r="J44" t="str">
        <f>IFERROR(VLOOKUP($E$18,'TERM 3 SUMMARY'!$C$16:$BU$114,27,FALSE()),"")</f>
        <v/>
      </c>
      <c r="L44" t="str" xml:space="preserve">
        <v xml:space="preserve">13. Orally segment sounds
a. syllable 
b. onset and rime 
c. phoneme by phoneme</v>
      </c>
      <c r="O44" t="str">
        <f>IFERROR(VLOOKUP($E$18,'TERM 1 SUMMARY'!$C$16:$BT$114,56,FALSE()),"")</f>
        <v/>
      </c>
      <c r="P44" t="str">
        <f>IFERROR(VLOOKUP($E$18,'TERM 2 SUMMARY'!$C$16:$BT$114,56,FALSE()),"")</f>
        <v/>
      </c>
      <c r="Q44" t="str">
        <f>IFERROR(VLOOKUP($E$18,'TERM 3 SUMMARY'!$C$16:$BU$114,56,FALSE()),"")</f>
        <v/>
      </c>
    </row>
    <row r="45" ht="30" customHeight="1">
      <c r="D45" t="str">
        <v>5. Reclassifies objects according to multiple attributes</v>
      </c>
      <c r="H45" t="str">
        <f>IFERROR(VLOOKUP($E$18,'TERM 1 SUMMARY'!$C$16:$BT$114,28,FALSE()),"")</f>
        <v/>
      </c>
      <c r="I45" t="str">
        <f>IFERROR(VLOOKUP($E$18,'TERM 2 SUMMARY'!$C$16:$BT$114,28,FALSE()),"")</f>
        <v/>
      </c>
      <c r="J45" t="str">
        <f>IFERROR(VLOOKUP($E$18,'TERM 3 SUMMARY'!$C$16:$BU$114,28,FALSE()),"")</f>
        <v/>
      </c>
      <c r="L45" t="str">
        <v>Letter Knowledge</v>
      </c>
    </row>
    <row r="46" ht="30" customHeight="1">
      <c r="D46" t="str">
        <v>6. Arranges objects according to specific attributes</v>
      </c>
      <c r="H46" t="str">
        <f>IFERROR(VLOOKUP($E$18,'TERM 1 SUMMARY'!$C$16:$BT$114,29,FALSE()),"")</f>
        <v/>
      </c>
      <c r="I46" t="str">
        <f>IFERROR(VLOOKUP($E$18,'TERM 2 SUMMARY'!$C$16:$BT$114,29,FALSE()),"")</f>
        <v/>
      </c>
      <c r="J46" t="str">
        <f>IFERROR(VLOOKUP($E$18,'TERM 3 SUMMARY'!$C$16:$BU$114,29,FALSE()),"")</f>
        <v/>
      </c>
      <c r="L46" t="str">
        <v>14. Identifies uppercase letters</v>
      </c>
      <c r="O46" t="str">
        <f>IFERROR(VLOOKUP($E$18,'TERM 1 SUMMARY'!$C$16:$BT$114,57,FALSE()),"")</f>
        <v/>
      </c>
      <c r="P46" t="str">
        <f>IFERROR(VLOOKUP($E$18,'TERM 2 SUMMARY'!$C$16:$BT$114,57,FALSE()),"")</f>
        <v/>
      </c>
      <c r="Q46" t="str">
        <f>IFERROR(VLOOKUP($E$18,'TERM 3 SUMMARY'!$C$16:$BU$114,57,FALSE()),"")</f>
        <v/>
      </c>
    </row>
    <row r="47" ht="30" customHeight="1">
      <c r="D47" t="str">
        <v>7. Recognizes, extends and create patterns using concrete objects</v>
      </c>
      <c r="H47" t="str">
        <f>IFERROR(VLOOKUP($E$18,'TERM 1 SUMMARY'!$C$16:$BT$114,30,FALSE()),"")</f>
        <v/>
      </c>
      <c r="I47" t="str">
        <f>IFERROR(VLOOKUP($E$18,'TERM 2 SUMMARY'!$C$16:$BT$114,30,FALSE()),"")</f>
        <v/>
      </c>
      <c r="J47" t="str">
        <f>IFERROR(VLOOKUP($E$18,'TERM 3 SUMMARY'!$C$16:$BU$114,30,FALSE()),"")</f>
        <v/>
      </c>
      <c r="L47" t="str">
        <v>15. Identifies lowercase letters</v>
      </c>
      <c r="O47" t="str">
        <f>IFERROR(VLOOKUP($E$18,'TERM 1 SUMMARY'!$C$16:$BT$114,58,FALSE()),"")</f>
        <v/>
      </c>
      <c r="P47" t="str">
        <f>IFERROR(VLOOKUP($E$18,'TERM 2 SUMMARY'!$C$16:$BT$114,58,FALSE()),"")</f>
        <v/>
      </c>
      <c r="Q47" t="str">
        <f>IFERROR(VLOOKUP($E$18,'TERM 3 SUMMARY'!$C$16:$BU$114,58,FALSE()),"")</f>
        <v/>
      </c>
    </row>
    <row r="48" ht="39.75" customHeight="1">
      <c r="D48" t="str">
        <v>8. Measures size, length, capacity and mass of objects using non-standard measuring tools</v>
      </c>
      <c r="H48" t="str">
        <f>IFERROR(VLOOKUP($E$18,'TERM 1 SUMMARY'!$C$16:$BT$114,31,FALSE()),"")</f>
        <v/>
      </c>
      <c r="I48" t="str">
        <f>IFERROR(VLOOKUP($E$18,'TERM 2 SUMMARY'!$C$16:$BT$114,31,FALSE()),"")</f>
        <v/>
      </c>
      <c r="J48" t="str">
        <f>IFERROR(VLOOKUP($E$18,'TERM 3 SUMMARY'!$C$16:$BU$114,31,FALSE()),"")</f>
        <v/>
      </c>
      <c r="L48" t="str">
        <v>16. Matches upper and lowercase letters</v>
      </c>
      <c r="O48" t="str">
        <f>IFERROR(VLOOKUP($E$18,'TERM 1 SUMMARY'!$C$16:$BT$114,59,FALSE()),"")</f>
        <v/>
      </c>
      <c r="P48" t="str">
        <f>IFERROR(VLOOKUP($E$18,'TERM 2 SUMMARY'!$C$16:$BT$114,59,FALSE()),"")</f>
        <v/>
      </c>
      <c r="Q48" t="str">
        <f>IFERROR(VLOOKUP($E$18,'TERM 3 SUMMARY'!$C$16:$BU$114,59,FALSE()),"")</f>
        <v/>
      </c>
    </row>
    <row r="49" ht="30" customHeight="1">
      <c r="D49" t="str">
        <v>9. Identifies position of objects (in, on, over, under, top, bottom)</v>
      </c>
      <c r="H49" t="str">
        <f>IFERROR(VLOOKUP($E$18,'TERM 1 SUMMARY'!$C$16:$BT$114,32,FALSE()),"")</f>
        <v/>
      </c>
      <c r="I49" t="str">
        <f>IFERROR(VLOOKUP($E$18,'TERM 2 SUMMARY'!$C$16:$BT$114,32,FALSE()),"")</f>
        <v/>
      </c>
      <c r="J49" t="str">
        <f>IFERROR(VLOOKUP($E$18,'TERM 3 SUMMARY'!$C$16:$BU$114,32,FALSE()),"")</f>
        <v/>
      </c>
      <c r="L49" t="str">
        <v>Letter Sound Relationship</v>
      </c>
    </row>
    <row r="50" ht="30" customHeight="1">
      <c r="D50" t="str">
        <v>10. Compares quantities of objects (more/less)</v>
      </c>
      <c r="H50" t="str">
        <f>IFERROR(VLOOKUP($E$18,'TERM 1 SUMMARY'!$C$16:$BT$114,33,FALSE()),"")</f>
        <v/>
      </c>
      <c r="I50" t="str">
        <f>IFERROR(VLOOKUP($E$18,'TERM 2 SUMMARY'!$C$16:$BT$114,33,FALSE()),"")</f>
        <v/>
      </c>
      <c r="J50" t="str">
        <f>IFERROR(VLOOKUP($E$18,'TERM 3 SUMMARY'!$C$16:$BU$114,33,FALSE()),"")</f>
        <v/>
      </c>
      <c r="L50" t="str">
        <v>17. Identifies letter sounds</v>
      </c>
      <c r="O50" t="str">
        <f>IFERROR(VLOOKUP($E$18,'TERM 1 SUMMARY'!$C$16:$BT$114,60,FALSE()),"")</f>
        <v/>
      </c>
      <c r="P50" t="str">
        <f>IFERROR(VLOOKUP($E$18,'TERM 2 SUMMARY'!$C$16:$BT$114,60,FALSE()),"")</f>
        <v/>
      </c>
      <c r="Q50" t="str">
        <f>IFERROR(VLOOKUP($E$18,'TERM 3 SUMMARY'!$C$16:$BU$114,60,FALSE()),"")</f>
        <v/>
      </c>
    </row>
    <row r="51" ht="30" customHeight="1">
      <c r="D51" t="str">
        <v>11. Counts with one-to-one correspondence</v>
      </c>
      <c r="H51" t="str">
        <f>IFERROR(VLOOKUP($E$18,'TERM 1 SUMMARY'!$C$16:$BT$114,34,FALSE()),"")</f>
        <v/>
      </c>
      <c r="I51" t="str">
        <f>IFERROR(VLOOKUP($E$18,'TERM 2 SUMMARY'!$C$16:$BT$114,34,FALSE()),"")</f>
        <v/>
      </c>
      <c r="J51" t="str">
        <f>IFERROR(VLOOKUP($E$18,'TERM 3 SUMMARY'!$C$16:$BU$114,34,FALSE()),"")</f>
        <v/>
      </c>
      <c r="L51" t="str">
        <v>18. Matches letters and their corresponding sounds</v>
      </c>
      <c r="O51" t="str">
        <f>IFERROR(VLOOKUP($E$18,'TERM 1 SUMMARY'!$C$16:$BT$114,61,FALSE()),"")</f>
        <v/>
      </c>
      <c r="P51" t="str">
        <f>IFERROR(VLOOKUP($E$18,'TERM 2 SUMMARY'!$C$16:$BT$114,61,FALSE()),"")</f>
        <v/>
      </c>
      <c r="Q51" t="str">
        <f>IFERROR(VLOOKUP($E$18,'TERM 3 SUMMARY'!$C$16:$BU$114,61,FALSE()),"")</f>
        <v/>
      </c>
    </row>
    <row r="52" ht="30" customHeight="1">
      <c r="D52" t="str">
        <v>12. Recognizes numerals</v>
      </c>
      <c r="H52" t="str">
        <f>IFERROR(VLOOKUP($E$18,'TERM 1 SUMMARY'!$C$16:$BT$114,35,FALSE()),"")</f>
        <v/>
      </c>
      <c r="I52" t="str">
        <f>IFERROR(VLOOKUP($E$18,'TERM 2 SUMMARY'!$C$16:$BT$114,35,FALSE()),"")</f>
        <v/>
      </c>
      <c r="J52" t="str">
        <f>IFERROR(VLOOKUP($E$18,'TERM 3 SUMMARY'!$C$16:$BU$114,35,FALSE()),"")</f>
        <v/>
      </c>
      <c r="L52" t="str">
        <v>E. Comprehension</v>
      </c>
    </row>
    <row r="53" ht="39.75" customHeight="1">
      <c r="D53" t="str">
        <v>13. Matches numerals to objects</v>
      </c>
      <c r="H53" t="str">
        <f>IFERROR(VLOOKUP($E$18,'TERM 1 SUMMARY'!$C$16:$BT$114,36,FALSE()),"")</f>
        <v/>
      </c>
      <c r="I53" t="str">
        <f>IFERROR(VLOOKUP($E$18,'TERM 2 SUMMARY'!$C$16:$BT$114,36,FALSE()),"")</f>
        <v/>
      </c>
      <c r="J53" t="str">
        <f>IFERROR(VLOOKUP($E$18,'TERM 3 SUMMARY'!$C$16:$BU$114,36,FALSE()),"")</f>
        <v/>
      </c>
      <c r="L53" t="str">
        <v>19. Uses a variety of strategies to gain meaning of leveled texts</v>
      </c>
      <c r="O53" t="str">
        <f>IFERROR(VLOOKUP($E$18,'TERM 1 SUMMARY'!$C$16:$BT$114,62,FALSE()),"")</f>
        <v/>
      </c>
      <c r="P53" t="str">
        <f>IFERROR(VLOOKUP($E$18,'TERM 2 SUMMARY'!$C$16:$BT$114,62,FALSE()),"")</f>
        <v/>
      </c>
      <c r="Q53" t="str">
        <f>IFERROR(VLOOKUP($E$18,'TERM 3 SUMMARY'!$C$16:$BU$114,62,FALSE()),"")</f>
        <v/>
      </c>
    </row>
    <row r="54" ht="30" customHeight="1">
      <c r="D54" t="str">
        <v>14. Adds and subtracts using concrete objects</v>
      </c>
      <c r="H54" t="str">
        <f>IFERROR(VLOOKUP($E$18,'TERM 1 SUMMARY'!$C$16:$BT$114,37,FALSE()),"")</f>
        <v/>
      </c>
      <c r="I54" t="str">
        <f>IFERROR(VLOOKUP($E$18,'TERM 2 SUMMARY'!$C$16:$BT$114,37,FALSE()),"")</f>
        <v/>
      </c>
      <c r="J54" t="str">
        <f>IFERROR(VLOOKUP($E$18,'TERM 3 SUMMARY'!$C$16:$BU$114,37,FALSE()),"")</f>
        <v/>
      </c>
      <c r="L54" t="str">
        <v>20. Uses print and illustrations to make meaning</v>
      </c>
      <c r="O54" t="str">
        <f>IFERROR(VLOOKUP($E$18,'TERM 1 SUMMARY'!$C$16:$BT$114,63,FALSE()),"")</f>
        <v/>
      </c>
      <c r="P54" t="str">
        <f>IFERROR(VLOOKUP($E$18,'TERM 2 SUMMARY'!$C$16:$BT$114,63,FALSE()),"")</f>
        <v/>
      </c>
      <c r="Q54" t="str">
        <f>IFERROR(VLOOKUP($E$18,'TERM 3 SUMMARY'!$C$16:$BU$114,63,FALSE()),"")</f>
        <v/>
      </c>
    </row>
    <row r="55" ht="30" customHeight="1">
      <c r="D55" t="str">
        <v>15. Recognizes clock as measure of time (hours and minutes)</v>
      </c>
      <c r="H55" t="str">
        <f>IFERROR(VLOOKUP($E$18,'TERM 1 SUMMARY'!$C$16:$BT$114,38,FALSE()),"")</f>
        <v/>
      </c>
      <c r="I55" t="str">
        <f>IFERROR(VLOOKUP($E$18,'TERM 2 SUMMARY'!$C$16:$BT$114,38,FALSE()),"")</f>
        <v/>
      </c>
      <c r="J55" t="str">
        <f>IFERROR(VLOOKUP($E$18,'TERM 3 SUMMARY'!$C$16:$BU$114,38,FALSE()),"")</f>
        <v/>
      </c>
      <c r="L55" t="str">
        <v>F. Concepts of Print</v>
      </c>
    </row>
    <row r="56" ht="39.75" customHeight="1">
      <c r="D56" t="str">
        <v>16. Shows awareness and care for the natural and physical environment</v>
      </c>
      <c r="H56" t="str">
        <f>IFERROR(VLOOKUP($E$18,'TERM 1 SUMMARY'!$C$16:$BT$114,39,FALSE()),"")</f>
        <v/>
      </c>
      <c r="I56" t="str">
        <f>IFERROR(VLOOKUP($E$18,'TERM 2 SUMMARY'!$C$16:$BT$114,39,FALSE()),"")</f>
        <v/>
      </c>
      <c r="J56" t="str">
        <f>IFERROR(VLOOKUP($E$18,'TERM 3 SUMMARY'!$C$16:$BU$114,39,FALSE()),"")</f>
        <v/>
      </c>
      <c r="L56" t="str">
        <v>21. Demonstrates book handling skills</v>
      </c>
      <c r="O56" t="str">
        <f>IFERROR(VLOOKUP($E$18,'TERM 1 SUMMARY'!$C$16:$BT$114,64,FALSE()),"")</f>
        <v/>
      </c>
      <c r="P56" t="str">
        <f>IFERROR(VLOOKUP($E$18,'TERM 2 SUMMARY'!$C$16:$BT$114,64,FALSE()),"")</f>
        <v/>
      </c>
      <c r="Q56" t="str">
        <f>IFERROR(VLOOKUP($E$18,'TERM 3 SUMMARY'!$C$16:$BU$114,64,FALSE()),"")</f>
        <v/>
      </c>
    </row>
    <row r="57" ht="30" customHeight="1">
      <c r="D57" t="str">
        <v>17. Talks about participation in cultural and religious activities</v>
      </c>
      <c r="H57" t="str">
        <f>IFERROR(VLOOKUP($E$18,'TERM 1 SUMMARY'!$C$16:$BT$114,40,FALSE()),"")</f>
        <v/>
      </c>
      <c r="I57" t="str">
        <f>IFERROR(VLOOKUP($E$18,'TERM 2 SUMMARY'!$C$16:$BT$114,40,FALSE()),"")</f>
        <v/>
      </c>
      <c r="J57" t="str">
        <f>IFERROR(VLOOKUP($E$18,'TERM 3 SUMMARY'!$C$16:$BU$114,40,FALSE()),"")</f>
        <v/>
      </c>
      <c r="L57" t="str">
        <v>22. Distinguishes between letters, words, and sentences</v>
      </c>
      <c r="O57" t="str">
        <f>IFERROR(VLOOKUP($E$18,'TERM 1 SUMMARY'!$C$16:$BT$114,65,FALSE()),"")</f>
        <v/>
      </c>
      <c r="P57" t="str">
        <f>IFERROR(VLOOKUP($E$18,'TERM 2 SUMMARY'!$C$16:$BT$114,65,FALSE()),"")</f>
        <v/>
      </c>
      <c r="Q57" t="str">
        <f>IFERROR(VLOOKUP($E$18,'TERM 3 SUMMARY'!$C$16:$BU$114,65,FALSE()),"")</f>
        <v/>
      </c>
    </row>
    <row r="58" ht="49.5" customHeight="1">
      <c r="D58" t="str">
        <v>18. Shows awareness of the importance of caring for the natural and physical environment through simple practices (e.g., sorting trash, helping to clean up)</v>
      </c>
      <c r="H58" t="str">
        <f>IFERROR(VLOOKUP($E$18,'TERM 1 SUMMARY'!$C$16:$BT$114,41,FALSE()),"")</f>
        <v/>
      </c>
      <c r="I58" t="str">
        <f>IFERROR(VLOOKUP($E$18,'TERM 2 SUMMARY'!$C$16:$BT$114,41,FALSE()),"")</f>
        <v/>
      </c>
      <c r="J58" t="str">
        <f>IFERROR(VLOOKUP($E$18,'TERM 3 SUMMARY'!$C$16:$BU$114,41,FALSE()),"")</f>
        <v/>
      </c>
      <c r="L58" t="str">
        <v>23. Demonstrates awareness of print (left to right and top to bottom)</v>
      </c>
      <c r="O58" t="str">
        <f>IFERROR(VLOOKUP($E$18,'TERM 1 SUMMARY'!$C$16:$BT$114,66,FALSE()),"")</f>
        <v/>
      </c>
      <c r="P58" t="str">
        <f>IFERROR(VLOOKUP($E$18,'TERM 2 SUMMARY'!$C$16:$BT$114,66,FALSE()),"")</f>
        <v/>
      </c>
      <c r="Q58" t="str">
        <f>IFERROR(VLOOKUP($E$18,'TERM 3 SUMMARY'!$C$16:$BU$114,66,FALSE()),"")</f>
        <v/>
      </c>
    </row>
    <row r="59" ht="30" customHeight="1">
      <c r="D59" t="str">
        <v>19. Predicts outcomes in familiar stories read aloud in class</v>
      </c>
      <c r="H59" t="str">
        <f>IFERROR(VLOOKUP($E$18,'TERM 1 SUMMARY'!$C$16:$BT$114,42,FALSE()),"")</f>
        <v/>
      </c>
      <c r="I59" t="str">
        <f>IFERROR(VLOOKUP($E$18,'TERM 2 SUMMARY'!$C$16:$BT$114,42,FALSE()),"")</f>
        <v/>
      </c>
      <c r="J59" t="str">
        <f>IFERROR(VLOOKUP($E$18,'TERM 3 SUMMARY'!$C$16:$BU$114,42,FALSE()),"")</f>
        <v/>
      </c>
      <c r="L59" t="str">
        <v>G. Writing</v>
      </c>
    </row>
    <row r="60" ht="39.75" customHeight="1">
      <c r="D60" t="str">
        <v>20. Suggests solutions to problems in class activities and stories read aloud in class</v>
      </c>
      <c r="H60" t="str">
        <f>IFERROR(VLOOKUP($E$18,'TERM 1 SUMMARY'!$C$16:$BT$114,43,FALSE()),"")</f>
        <v/>
      </c>
      <c r="I60" t="str">
        <f>IFERROR(VLOOKUP($E$18,'TERM 2 SUMMARY'!$C$16:$BT$114,43,FALSE()),"")</f>
        <v/>
      </c>
      <c r="J60" t="str">
        <f>IFERROR(VLOOKUP($E$18,'TERM 3 SUMMARY'!$C$16:$BU$114,43,FALSE()),"")</f>
        <v/>
      </c>
      <c r="L60" t="str">
        <v>24. Traces/draws/copies shapes, designs, pictures</v>
      </c>
      <c r="O60" t="str">
        <f>IFERROR(VLOOKUP($E$18,'TERM 1 SUMMARY'!$C$16:$BT$114,67,FALSE()),"")</f>
        <v/>
      </c>
      <c r="P60" t="str">
        <f>IFERROR(VLOOKUP($E$18,'TERM 2 SUMMARY'!$C$16:$BT$114,67,FALSE()),"")</f>
        <v/>
      </c>
      <c r="Q60" t="str">
        <f>IFERROR(VLOOKUP($E$18,'TERM 3 SUMMARY'!$C$16:$BU$114,67,FALSE()),"")</f>
        <v/>
      </c>
    </row>
    <row r="61" ht="30" customHeight="1">
      <c r="L61" t="str">
        <v>25. Traces/copies/writes name, words</v>
      </c>
      <c r="O61" t="str">
        <f>IFERROR(VLOOKUP($E$18,'TERM 1 SUMMARY'!$C$16:$BT$114,68,FALSE()),"")</f>
        <v/>
      </c>
      <c r="P61" t="str">
        <f>IFERROR(VLOOKUP($E$18,'TERM 2 SUMMARY'!$C$16:$BT$114,68,FALSE()),"")</f>
        <v/>
      </c>
      <c r="Q61" t="str">
        <f>IFERROR(VLOOKUP($E$18,'TERM 3 SUMMARY'!$C$16:$BU$114,68,FALSE()),"")</f>
        <v/>
      </c>
    </row>
    <row r="62" ht="30" customHeight="1">
      <c r="L62" t="str">
        <v>26. Writes uppercase and lowercase letters</v>
      </c>
      <c r="O62" t="str">
        <f>IFERROR(VLOOKUP($E$18,'TERM 1 SUMMARY'!$C$16:$BT$114,69,FALSE()),"")</f>
        <v/>
      </c>
      <c r="P62" t="str">
        <f>IFERROR(VLOOKUP($E$18,'TERM 2 SUMMARY'!$C$16:$BT$114,69,FALSE()),"")</f>
        <v/>
      </c>
      <c r="Q62" t="str">
        <f>IFERROR(VLOOKUP($E$18,'TERM 3 SUMMARY'!$C$16:$BU$114,69,FALSE()),"")</f>
        <v/>
      </c>
    </row>
    <row r="63" ht="30" customHeight="1">
      <c r="L63" t="str">
        <v>27. Spells sight words</v>
      </c>
      <c r="O63" t="str">
        <f>IFERROR(VLOOKUP($E$18,'TERM 1 SUMMARY'!$C$16:$BT$114,70,FALSE()),"")</f>
        <v/>
      </c>
      <c r="P63" t="str">
        <f>IFERROR(VLOOKUP($E$18,'TERM 2 SUMMARY'!$C$16:$BT$114,70,FALSE()),"")</f>
        <v/>
      </c>
      <c r="Q63" t="str">
        <f>IFERROR(VLOOKUP($E$18,'TERM 3 SUMMARY'!$C$16:$BU$114,70,FALSE()),"")</f>
        <v/>
      </c>
    </row>
    <row r="64" ht="30" customHeight="1">
      <c r="L64" t="str">
        <v>28. Spells simple words phonetically</v>
      </c>
      <c r="O64" t="str">
        <f>IFERROR(VLOOKUP($E$18,'TERM 2 SUMMARY'!$C$16:$BU$114,71,FALSE()),"")</f>
        <v/>
      </c>
      <c r="P64" t="str">
        <f>IFERROR(VLOOKUP($E$18,'TERM 2 SUMMARY'!$C$16:$BU$114,71,FALSE()),"")</f>
        <v/>
      </c>
      <c r="Q64" t="str">
        <f>IFERROR(VLOOKUP($E$18,'TERM 3 SUMMARY'!$C$16:$BU$114,71,FALSE()),"")</f>
        <v/>
      </c>
    </row>
    <row r="65" ht="15.75" customHeight="1"/>
    <row r="66" ht="15.75" customHeight="1"/>
    <row r="67" ht="15.75" customHeight="1"/>
    <row r="68" ht="15.75" customHeight="1"/>
    <row r="69" ht="15.75" customHeight="1"/>
    <row r="70" ht="15" customHeight="1"/>
    <row r="71" ht="15" customHeight="1"/>
    <row r="72" ht="15" customHeight="1"/>
    <row r="73" ht="15" customHeight="1"/>
    <row r="74" ht="15.75" customHeight="1"/>
    <row r="75" ht="15.75" customHeight="1">
      <c r="U75" t="str">
        <v>STUDENT NAME</v>
      </c>
    </row>
    <row r="76" ht="15.75" customHeight="1">
      <c r="U76" t="str">
        <f>$E$18</f>
        <v/>
      </c>
    </row>
    <row r="77" ht="15.75" customHeight="1">
      <c r="D77" t="str">
        <v>TEACHER’S COMMENTS/REMARKS</v>
      </c>
      <c r="M77" t="str">
        <v>ATTENDANCE RECORD</v>
      </c>
    </row>
    <row r="78" ht="15.75" customHeight="1">
      <c r="D78" t="str">
        <v>(Provide specific observations, strengths, and suggested interventions.)</v>
      </c>
    </row>
    <row r="79" ht="15.75" customHeight="1"/>
    <row r="80" ht="15.75" customHeight="1">
      <c r="D80" t="str">
        <v>TERM 1 (UNANG TERMINO)</v>
      </c>
      <c r="M80" t="str">
        <v>Term</v>
      </c>
      <c r="N80" t="str">
        <v>Month</v>
      </c>
      <c r="O80" t="str">
        <v>No. of Class Days</v>
      </c>
      <c r="P80" t="str">
        <v>No. Days Present</v>
      </c>
      <c r="Q80" t="str">
        <v>No. of Times Absent</v>
      </c>
    </row>
    <row r="81" ht="33" customHeight="1"/>
    <row r="82" ht="27.75" customHeight="1">
      <c r="M82">
        <v>1</v>
      </c>
      <c r="N82" t="str">
        <v>June</v>
      </c>
      <c r="O82">
        <f>'KINDER - ATTENDANCE RECORD SUMM'!F$116</f>
        <v>20</v>
      </c>
      <c r="Q82" t="str">
        <f>IF(P82="","",O82-P82)</f>
        <v/>
      </c>
    </row>
    <row r="83" ht="27.75" customHeight="1">
      <c r="N83" t="str">
        <v>July</v>
      </c>
      <c r="O83">
        <f>'KINDER - ATTENDANCE RECORD SUMM'!G$116</f>
        <v>20</v>
      </c>
      <c r="Q83" t="str">
        <f>IF(P83="","",O83-P83)</f>
        <v/>
      </c>
    </row>
    <row r="84" ht="27.75" customHeight="1">
      <c r="N84" t="str">
        <v>August</v>
      </c>
      <c r="O84">
        <f>'KINDER - ATTENDANCE RECORD SUMM'!H$116</f>
        <v>20</v>
      </c>
      <c r="Q84" t="str">
        <f>IF(P84="","",O84-P84)</f>
        <v/>
      </c>
    </row>
    <row r="85" ht="27.75" customHeight="1">
      <c r="N85" t="str">
        <v>September</v>
      </c>
      <c r="O85">
        <f>'KINDER - ATTENDANCE RECORD SUMM'!I$116</f>
        <v>10</v>
      </c>
      <c r="Q85" t="str">
        <f>IF(P85="","",O85-P85)</f>
        <v/>
      </c>
    </row>
    <row r="86" ht="27.75" customHeight="1">
      <c r="M86">
        <v>2</v>
      </c>
      <c r="N86" t="str">
        <v>September</v>
      </c>
      <c r="O86">
        <f>'KINDER - ATTENDANCE RECORD SUMM'!J$116</f>
        <v>10</v>
      </c>
      <c r="Q86" t="str">
        <f>IF(P86="","",O86-P86)</f>
        <v/>
      </c>
    </row>
    <row r="87" ht="27.75" customHeight="1">
      <c r="N87" t="str">
        <v>October</v>
      </c>
      <c r="O87">
        <f>'KINDER - ATTENDANCE RECORD SUMM'!K$116</f>
        <v>20</v>
      </c>
      <c r="Q87" t="str">
        <f>IF(P87="","",O87-P87)</f>
        <v/>
      </c>
    </row>
    <row r="88" ht="27.75" customHeight="1">
      <c r="N88" t="str">
        <v>November</v>
      </c>
      <c r="O88">
        <f>'KINDER - ATTENDANCE RECORD SUMM'!L$116</f>
        <v>20</v>
      </c>
      <c r="Q88" t="str">
        <f>IF(P88="","",O88-P88)</f>
        <v/>
      </c>
    </row>
    <row r="89" ht="27.75" customHeight="1">
      <c r="N89" t="str">
        <v>December</v>
      </c>
      <c r="O89">
        <f>'KINDER - ATTENDANCE RECORD SUMM'!M$116</f>
        <v>20</v>
      </c>
      <c r="Q89" t="str">
        <f>IF(P89="","",O89-P89)</f>
        <v/>
      </c>
    </row>
    <row r="90" ht="27.75" customHeight="1">
      <c r="M90">
        <v>3</v>
      </c>
      <c r="N90" t="str">
        <v>January</v>
      </c>
      <c r="O90">
        <f>'KINDER - ATTENDANCE RECORD SUMM'!N$116</f>
        <v>18</v>
      </c>
      <c r="Q90" t="str">
        <f>IF(P90="","",O90-P90)</f>
        <v/>
      </c>
    </row>
    <row r="91" ht="27.75" customHeight="1">
      <c r="N91" t="str">
        <v>February</v>
      </c>
      <c r="O91">
        <f>'KINDER - ATTENDANCE RECORD SUMM'!O$116</f>
        <v>18</v>
      </c>
      <c r="Q91" t="str">
        <f>IF(P91="","",O91-P91)</f>
        <v/>
      </c>
    </row>
    <row r="92" ht="27.75" customHeight="1">
      <c r="N92" t="str">
        <v>March</v>
      </c>
      <c r="O92">
        <f>'KINDER - ATTENDANCE RECORD SUMM'!P$116</f>
        <v>20</v>
      </c>
      <c r="Q92" t="str">
        <f>IF(P92="","",O92-P92)</f>
        <v/>
      </c>
    </row>
    <row r="93" ht="27.75" customHeight="1">
      <c r="N93" t="str">
        <v>April</v>
      </c>
      <c r="O93">
        <f>'KINDER - ATTENDANCE RECORD SUMM'!Q$116</f>
        <v>5</v>
      </c>
      <c r="Q93" t="str">
        <f>IF(P93="","",O93-P93)</f>
        <v/>
      </c>
    </row>
    <row r="94" ht="27.75" customHeight="1">
      <c r="M94" t="str">
        <v>TOTAL</v>
      </c>
      <c r="O94">
        <f>SUM(O82:O93)</f>
        <v>201</v>
      </c>
      <c r="P94">
        <f>SUM(P82:P93)</f>
        <v>0</v>
      </c>
      <c r="Q94">
        <f>IF(P94="","",O94-P94)</f>
        <v>201</v>
      </c>
    </row>
    <row r="95" ht="15.75" customHeight="1"/>
    <row r="96" ht="33" customHeight="1">
      <c r="E96" t="str">
        <v>Parent's/Guardian's Signature:</v>
      </c>
      <c r="M96" t="str">
        <v>IMPORTANT NOTE TO PARENTS/GUARDIANS</v>
      </c>
    </row>
    <row r="97" ht="15.75" customHeight="1">
      <c r="M97" t="str">
        <v>This rating scale is used to record the learner’s level of attainment for each competency across the developmental domains. It guides teachers in assigning ratings based on observed performance and assessment results for each term.</v>
      </c>
    </row>
    <row r="98" ht="15.75" customHeight="1">
      <c r="D98" t="str">
        <v>TERM 2 (IKALAWANG TERMINO)</v>
      </c>
    </row>
    <row r="99" ht="27.75" customHeight="1"/>
    <row r="100" ht="27.75" customHeight="1">
      <c r="M100" t="str">
        <v>Rating</v>
      </c>
      <c r="O100" t="str">
        <v>Indicators</v>
      </c>
    </row>
    <row r="101" ht="27.75" customHeight="1">
      <c r="M101" t="str">
        <v>Consistent (CO)</v>
      </c>
      <c r="O101" t="str">
        <v>Always demonstrates the expected competency</v>
      </c>
    </row>
    <row r="102" ht="27.75" customHeight="1"/>
    <row r="103" ht="27.75" customHeight="1">
      <c r="O103" t="str">
        <v>Always participates in the different activities, works independently</v>
      </c>
    </row>
    <row r="104" ht="27.75" customHeight="1"/>
    <row r="105" ht="27.75" customHeight="1">
      <c r="O105" t="str">
        <v>Always performs tasks, advanced in some aspects</v>
      </c>
    </row>
    <row r="106" ht="27.75" customHeight="1"/>
    <row r="107" ht="27.75" customHeight="1">
      <c r="M107" t="str">
        <v>Developing (DV)</v>
      </c>
      <c r="O107" t="str">
        <v>Sometimes demonstrates the competency</v>
      </c>
    </row>
    <row r="108" ht="27.75" customHeight="1"/>
    <row r="109" ht="27.75" customHeight="1">
      <c r="O109" t="str">
        <v>Sometimes participates, minimal supervision</v>
      </c>
    </row>
    <row r="110" ht="27.75" customHeight="1"/>
    <row r="111" ht="27.75" customHeight="1">
      <c r="O111" t="str">
        <v>Progresses continuously in doing assigned tasks</v>
      </c>
    </row>
    <row r="112" ht="27.75" customHeight="1"/>
    <row r="113" ht="15.75" customHeight="1">
      <c r="M113" t="str">
        <v>Beginning (BG)</v>
      </c>
      <c r="O113" t="str">
        <v>Rarely demonstrates the expected competency</v>
      </c>
    </row>
    <row r="114" ht="36" customHeight="1">
      <c r="E114" t="str">
        <v>Parent's/Guardian's Signature:</v>
      </c>
    </row>
    <row r="115" ht="15.75" customHeight="1">
      <c r="O115" t="str">
        <v>Rarely participates in class activities and/or initiates independent works</v>
      </c>
    </row>
    <row r="116" ht="30.75" customHeight="1">
      <c r="D116" t="str">
        <v>TERM 3 (IKATLONG TERMINO)</v>
      </c>
    </row>
    <row r="117" ht="15.75" customHeight="1">
      <c r="O117" t="str">
        <v>Shows interest in doing tasks but needs close supervision</v>
      </c>
    </row>
    <row r="118" ht="27.75" customHeight="1"/>
    <row r="119" ht="27.75" customHeight="1"/>
    <row r="120" ht="27.75" customHeight="1">
      <c r="M120" t="str">
        <v>CERTIFICATE OF TRANSFER</v>
      </c>
    </row>
    <row r="121" ht="27.75" customHeight="1">
      <c r="M121" t="str">
        <v>This is to certify that</v>
      </c>
    </row>
    <row r="122" ht="27.75" customHeight="1"/>
    <row r="123" ht="27.75" customHeight="1">
      <c r="M123" t="str">
        <v>__________________________________________________________________</v>
      </c>
    </row>
    <row r="124" ht="27.75" customHeight="1">
      <c r="M124" t="str">
        <v>of ____________________________ has developed the general</v>
      </c>
    </row>
    <row r="125" ht="27.75" customHeight="1">
      <c r="M125" t="str">
        <v>competencies based on the Kindergarten Curriculum Guide.</v>
      </c>
    </row>
    <row r="126" ht="27.75" customHeight="1"/>
    <row r="127" ht="27.75" customHeight="1">
      <c r="M127" t="str">
        <v>___________________________________</v>
      </c>
    </row>
    <row r="128" ht="27.75" customHeight="1">
      <c r="M128" t="str">
        <v>Adviser</v>
      </c>
    </row>
    <row r="129" ht="27.75" customHeight="1"/>
    <row r="130" ht="27.75" customHeight="1">
      <c r="M130" t="str">
        <v>___________________________________</v>
      </c>
    </row>
    <row r="131" ht="15.75" customHeight="1">
      <c r="M131" t="str">
        <v>School Head</v>
      </c>
    </row>
    <row r="132" ht="35.25" customHeight="1">
      <c r="E132" t="str">
        <v>Parent's/Guardian's Signature:</v>
      </c>
    </row>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58">
    <mergeCell ref="M82:M85"/>
    <mergeCell ref="M86:M89"/>
    <mergeCell ref="M90:M93"/>
    <mergeCell ref="M94:N94"/>
    <mergeCell ref="M95:Q95"/>
    <mergeCell ref="E96:F96"/>
    <mergeCell ref="G96:I96"/>
    <mergeCell ref="M96:Q96"/>
    <mergeCell ref="M97:Q99"/>
    <mergeCell ref="D98:J98"/>
    <mergeCell ref="M100:N100"/>
    <mergeCell ref="O100:Q100"/>
    <mergeCell ref="M101:N106"/>
    <mergeCell ref="O101:Q102"/>
    <mergeCell ref="M131:Q131"/>
    <mergeCell ref="M132:Q132"/>
    <mergeCell ref="M133:Q133"/>
    <mergeCell ref="D134:F134"/>
    <mergeCell ref="G134:I134"/>
    <mergeCell ref="M126:Q126"/>
    <mergeCell ref="M127:Q127"/>
    <mergeCell ref="M128:Q128"/>
    <mergeCell ref="M129:Q129"/>
    <mergeCell ref="M130:Q130"/>
    <mergeCell ref="E132:F132"/>
    <mergeCell ref="G132:I132"/>
    <mergeCell ref="C16:R16"/>
    <mergeCell ref="E18:G18"/>
    <mergeCell ref="H18:I18"/>
    <mergeCell ref="J18:M18"/>
    <mergeCell ref="N18:P18"/>
    <mergeCell ref="L61:N61"/>
    <mergeCell ref="L62:N62"/>
    <mergeCell ref="B3:B67"/>
    <mergeCell ref="D3:Q3"/>
    <mergeCell ref="S3:S67"/>
    <mergeCell ref="C5:R5"/>
    <mergeCell ref="C6:R6"/>
    <mergeCell ref="C7:R7"/>
    <mergeCell ref="C8:R9"/>
    <mergeCell ref="D67:Q67"/>
    <mergeCell ref="L63:N63"/>
    <mergeCell ref="L64:N64"/>
    <mergeCell ref="N74:O74"/>
    <mergeCell ref="U76:V76"/>
    <mergeCell ref="D77:J77"/>
    <mergeCell ref="M77:Q77"/>
    <mergeCell ref="D78:J78"/>
    <mergeCell ref="D79:J79"/>
    <mergeCell ref="D80:J80"/>
    <mergeCell ref="M80:M81"/>
    <mergeCell ref="N80:N81"/>
    <mergeCell ref="O80:O81"/>
    <mergeCell ref="P80:P81"/>
    <mergeCell ref="Q80:Q81"/>
    <mergeCell ref="E114:F114"/>
    <mergeCell ref="G114:I114"/>
    <mergeCell ref="D116:J116"/>
    <mergeCell ref="O117:Q118"/>
    <mergeCell ref="M120:Q120"/>
    <mergeCell ref="M121:Q121"/>
    <mergeCell ref="M122:Q122"/>
    <mergeCell ref="M123:Q123"/>
    <mergeCell ref="M124:Q124"/>
    <mergeCell ref="M125:Q125"/>
    <mergeCell ref="C10:R10"/>
    <mergeCell ref="C11:R11"/>
    <mergeCell ref="C13:R13"/>
    <mergeCell ref="C15:R15"/>
    <mergeCell ref="E19:G19"/>
    <mergeCell ref="H19:I19"/>
    <mergeCell ref="J19:M19"/>
    <mergeCell ref="N19:P19"/>
    <mergeCell ref="H20:I20"/>
    <mergeCell ref="D22:Q22"/>
    <mergeCell ref="D24:G25"/>
    <mergeCell ref="H24:J24"/>
    <mergeCell ref="L24:N25"/>
    <mergeCell ref="O24:Q24"/>
    <mergeCell ref="D26:G26"/>
    <mergeCell ref="L26:N26"/>
    <mergeCell ref="D27:G27"/>
    <mergeCell ref="L27:N27"/>
    <mergeCell ref="D28:G28"/>
    <mergeCell ref="L28:N28"/>
    <mergeCell ref="D29:G29"/>
    <mergeCell ref="L29:N29"/>
    <mergeCell ref="D30:G30"/>
    <mergeCell ref="L30:N30"/>
    <mergeCell ref="D31:G31"/>
    <mergeCell ref="L31:N31"/>
    <mergeCell ref="D32:G32"/>
    <mergeCell ref="L32:N32"/>
    <mergeCell ref="D33:G33"/>
    <mergeCell ref="L33:N33"/>
    <mergeCell ref="D34:G34"/>
    <mergeCell ref="L34:N34"/>
    <mergeCell ref="D35:G35"/>
    <mergeCell ref="L35:N35"/>
    <mergeCell ref="D36:G36"/>
    <mergeCell ref="L36:N36"/>
    <mergeCell ref="D37:G37"/>
    <mergeCell ref="L37:N37"/>
    <mergeCell ref="D38:G38"/>
    <mergeCell ref="L38:N38"/>
    <mergeCell ref="D39:G39"/>
    <mergeCell ref="L39:N39"/>
    <mergeCell ref="D40:G40"/>
    <mergeCell ref="L40:N40"/>
    <mergeCell ref="D41:G41"/>
    <mergeCell ref="L41:N41"/>
    <mergeCell ref="D42:G42"/>
    <mergeCell ref="L42:N42"/>
    <mergeCell ref="D43:G43"/>
    <mergeCell ref="L43:N43"/>
    <mergeCell ref="D44:G44"/>
    <mergeCell ref="L44:N44"/>
    <mergeCell ref="D45:G45"/>
    <mergeCell ref="L45:N45"/>
    <mergeCell ref="D46:G46"/>
    <mergeCell ref="L46:N46"/>
    <mergeCell ref="D47:G47"/>
    <mergeCell ref="L47:N47"/>
    <mergeCell ref="D48:G48"/>
    <mergeCell ref="L48:N48"/>
    <mergeCell ref="D49:G49"/>
    <mergeCell ref="L49:N49"/>
    <mergeCell ref="D50:G50"/>
    <mergeCell ref="L50:N50"/>
    <mergeCell ref="D51:G51"/>
    <mergeCell ref="L51:N51"/>
    <mergeCell ref="D52:G52"/>
    <mergeCell ref="L52:N52"/>
    <mergeCell ref="D53:G53"/>
    <mergeCell ref="L53:N53"/>
    <mergeCell ref="D54:G54"/>
    <mergeCell ref="L54:N54"/>
    <mergeCell ref="D55:G55"/>
    <mergeCell ref="L55:N55"/>
    <mergeCell ref="D56:G56"/>
    <mergeCell ref="L56:N56"/>
    <mergeCell ref="D57:G57"/>
    <mergeCell ref="L57:N57"/>
    <mergeCell ref="D58:G58"/>
    <mergeCell ref="L58:N58"/>
    <mergeCell ref="D59:G59"/>
    <mergeCell ref="L59:N59"/>
    <mergeCell ref="D60:G60"/>
    <mergeCell ref="L60:N60"/>
    <mergeCell ref="O113:Q114"/>
    <mergeCell ref="O115:Q116"/>
    <mergeCell ref="O103:Q104"/>
    <mergeCell ref="O105:Q106"/>
    <mergeCell ref="M107:N112"/>
    <mergeCell ref="O107:Q108"/>
    <mergeCell ref="O109:Q110"/>
    <mergeCell ref="O111:Q112"/>
    <mergeCell ref="M113:N118"/>
  </mergeCells>
  <pageMargins left="0.1968503937007874" right="0.1968503937007874" top="0.3937007874015748" bottom="0.3937007874015748" header="0" footer="0"/>
  <ignoredErrors>
    <ignoredError numberStoredAsText="1" sqref="A1:AE1002"/>
  </ignoredErrors>
</worksheet>
</file>

<file path=xl/worksheets/sheet4.xml><?xml version="1.0" encoding="utf-8"?>
<worksheet xmlns="http://schemas.openxmlformats.org/spreadsheetml/2006/main" xmlns:r="http://schemas.openxmlformats.org/officeDocument/2006/relationships">
  <dimension ref="A1:BU997"/>
  <sheetViews>
    <sheetView workbookViewId="0" rightToLeft="0"/>
  </sheetViews>
  <cols>
    <col min="1" max="1" customWidth="1" width="3.75"/>
    <col min="2" max="2" customWidth="1" width="4.38"/>
    <col min="3" max="3" customWidth="1" width="13.13"/>
    <col min="6" max="6" customWidth="1" width="15.38"/>
    <col min="9" max="9" customWidth="1" width="6.38"/>
    <col min="10" max="10" customWidth="1" width="6.38"/>
    <col min="11" max="11" customWidth="1" width="6.38"/>
    <col min="12" max="12" customWidth="1" width="6.38"/>
    <col min="13" max="13" customWidth="1" width="5.13"/>
    <col min="14" max="14" customWidth="1" width="5.63"/>
    <col min="15" max="15" customWidth="1" width="5.63"/>
    <col min="16" max="16" customWidth="1" width="5.63"/>
    <col min="17" max="17" customWidth="1" width="5.63"/>
    <col min="18" max="18" customWidth="1" width="5.63"/>
    <col min="19" max="19" customWidth="1" width="5.63"/>
    <col min="20" max="20" customWidth="1" width="5.63"/>
    <col min="21" max="21" customWidth="1" width="5.63"/>
    <col min="22" max="22" customWidth="1" width="5.63"/>
    <col min="23" max="23" customWidth="1" width="5.63"/>
    <col min="24" max="24" customWidth="1" width="5.63"/>
    <col min="25" max="25" customWidth="1" width="5.63"/>
    <col min="26" max="26" customWidth="1" width="5.63"/>
    <col min="27" max="27" customWidth="1" width="5.63"/>
    <col min="28" max="28" customWidth="1" width="5.63"/>
    <col min="29" max="29" customWidth="1" width="5.63"/>
    <col min="30" max="30" customWidth="1" width="5.63"/>
    <col min="31" max="31" customWidth="1" width="5.63"/>
    <col min="32" max="32" customWidth="1" width="5.63"/>
    <col min="33" max="33" customWidth="1" width="5.63"/>
    <col min="34" max="34" customWidth="1" width="5.63"/>
    <col min="35" max="35" customWidth="1" width="5.63"/>
    <col min="36" max="36" customWidth="1" width="5.63"/>
    <col min="37" max="37" customWidth="1" width="5.63"/>
    <col min="38" max="38" customWidth="1" width="5.63"/>
    <col min="39" max="39" customWidth="1" width="5.63"/>
    <col min="40" max="40" customWidth="1" width="5.63"/>
    <col min="41" max="41" customWidth="1" width="5.63"/>
    <col min="42" max="42" customWidth="1" width="5.63"/>
    <col min="43" max="43" customWidth="1" width="5.63"/>
    <col min="44" max="44" customWidth="1" width="5.63"/>
    <col min="45" max="45" customWidth="1" width="5.63"/>
    <col min="46" max="46" customWidth="1" width="5.63"/>
    <col min="47" max="47" customWidth="1" width="5.63"/>
    <col min="48" max="48" customWidth="1" width="5.63"/>
    <col min="49" max="49" customWidth="1" width="5.63"/>
    <col min="50" max="50" customWidth="1" width="7"/>
    <col min="51" max="51" customWidth="1" width="7"/>
    <col min="52" max="52" customWidth="1" width="5.63"/>
    <col min="53" max="53" customWidth="1" width="5.63"/>
    <col min="54" max="54" customWidth="1" width="5.63"/>
    <col min="55" max="55" customWidth="1" width="5.63"/>
    <col min="56" max="56" customWidth="1" width="5.63"/>
    <col min="57" max="57" customWidth="1" width="5.63"/>
    <col min="58" max="58" customWidth="1" width="15.63"/>
    <col min="59" max="59" customWidth="1" width="7"/>
    <col min="60" max="60" customWidth="1" width="5.63"/>
    <col min="61" max="61" customWidth="1" width="5.63"/>
    <col min="62" max="62" customWidth="1" width="7.5"/>
    <col min="63" max="63" customWidth="1" width="5.63"/>
    <col min="64" max="64" customWidth="1" width="10.38"/>
    <col min="65" max="65" customWidth="1" width="8.38"/>
    <col min="66" max="66" customWidth="1" width="5.63"/>
    <col min="67" max="67" customWidth="1" width="5.63"/>
    <col min="68" max="68" customWidth="1" width="5.63"/>
    <col min="69" max="69" customWidth="1" width="5.63"/>
    <col min="70" max="70" customWidth="1" width="5.63"/>
    <col min="71" max="71" customWidth="1" width="5.63"/>
    <col min="72" max="72" customWidth="1" width="5.63"/>
    <col min="73" max="73" customWidth="1" width="5.63"/>
  </cols>
  <sheetData>
    <row r="1">
      <c r="A1" t="str">
        <v>CLASS SUMMARY - FIRST</v>
      </c>
    </row>
    <row r="2"/>
    <row r="3"/>
    <row r="4"/>
    <row r="5">
      <c r="D5" t="str">
        <v>REGION</v>
      </c>
      <c r="E5" t="str">
        <f>'INPUT DATA'!F10</f>
        <v/>
      </c>
      <c r="I5" t="str">
        <v>DIVISION</v>
      </c>
      <c r="K5" t="str">
        <f>'INPUT DATA'!F11</f>
        <v/>
      </c>
    </row>
    <row r="6">
      <c r="D6" t="str">
        <v>SCHOOL NAME</v>
      </c>
      <c r="E6" t="str">
        <f>'INPUT DATA'!F16</f>
        <v/>
      </c>
      <c r="I6" t="str">
        <v>SCHOOL ID</v>
      </c>
      <c r="K6" t="str">
        <f>'INPUT DATA'!F15</f>
        <v/>
      </c>
      <c r="S6" t="str">
        <v>SCHOOL YEAR</v>
      </c>
      <c r="T6" t="str">
        <f>'INPUT DATA'!F18</f>
        <v/>
      </c>
    </row>
    <row r="7"/>
    <row r="8" ht="15.75" customHeight="1"/>
    <row r="9" ht="15.75" customHeight="1">
      <c r="B9" t="str">
        <v>FIRST TERM</v>
      </c>
      <c r="I9" t="str">
        <v>Age (BoSY)</v>
      </c>
      <c r="K9" t="str">
        <v>Age (EoSY)</v>
      </c>
      <c r="M9" t="str">
        <v>Sex</v>
      </c>
      <c r="N9" t="str">
        <v>GRADE LEVEL</v>
      </c>
      <c r="R9" t="str">
        <f>'INPUT DATA'!F27</f>
        <v/>
      </c>
      <c r="AE9" t="str">
        <v>ADVISER</v>
      </c>
      <c r="AH9" t="str">
        <f>'INPUT DATA'!F26</f>
        <v/>
      </c>
    </row>
    <row r="10" ht="15.75" customHeight="1">
      <c r="N10" t="str">
        <v>SECTION</v>
      </c>
      <c r="R10" t="str">
        <f>'INPUT DATA'!F28</f>
        <v/>
      </c>
    </row>
    <row r="11" ht="34.5" customHeight="1">
      <c r="N11" t="str">
        <v>I. Sensory Perceptual and Motor Development</v>
      </c>
      <c r="S11" t="str">
        <v>II. Socio-emotional Development</v>
      </c>
      <c r="Z11" t="str">
        <v>III. Cognitive Development</v>
      </c>
      <c r="AT11" t="str">
        <v>IV. Language, Literacy, and Communication Development</v>
      </c>
    </row>
    <row r="12" ht="34.5" customHeight="1">
      <c r="B12" t="str">
        <v>LEARNERS' NAMES</v>
      </c>
      <c r="F12" t="str">
        <v>LRN</v>
      </c>
      <c r="H12" t="str">
        <v>Date of Birth</v>
      </c>
      <c r="I12" t="str">
        <v>Years</v>
      </c>
      <c r="J12" t="str">
        <v>Months</v>
      </c>
      <c r="K12" t="str">
        <v>Years</v>
      </c>
      <c r="L12" t="str">
        <v>Months</v>
      </c>
      <c r="N12">
        <v>1</v>
      </c>
      <c r="O12">
        <v>2</v>
      </c>
      <c r="P12">
        <v>3</v>
      </c>
      <c r="Q12">
        <v>4</v>
      </c>
      <c r="R12">
        <v>5</v>
      </c>
      <c r="S12">
        <v>1</v>
      </c>
      <c r="T12">
        <v>2</v>
      </c>
      <c r="U12">
        <v>3</v>
      </c>
      <c r="V12">
        <v>4</v>
      </c>
      <c r="W12">
        <v>5</v>
      </c>
      <c r="X12">
        <v>6</v>
      </c>
      <c r="Y12">
        <v>7</v>
      </c>
      <c r="Z12">
        <v>1</v>
      </c>
      <c r="AA12">
        <v>2</v>
      </c>
      <c r="AB12">
        <v>3</v>
      </c>
      <c r="AC12">
        <v>4</v>
      </c>
      <c r="AD12">
        <v>5</v>
      </c>
      <c r="AE12">
        <v>6</v>
      </c>
      <c r="AF12">
        <v>7</v>
      </c>
      <c r="AG12">
        <v>8</v>
      </c>
      <c r="AH12">
        <v>9</v>
      </c>
      <c r="AI12">
        <v>10</v>
      </c>
      <c r="AJ12">
        <v>11</v>
      </c>
      <c r="AK12">
        <v>12</v>
      </c>
      <c r="AL12">
        <v>13</v>
      </c>
      <c r="AM12">
        <v>14</v>
      </c>
      <c r="AN12">
        <v>15</v>
      </c>
      <c r="AO12">
        <v>16</v>
      </c>
      <c r="AP12">
        <v>17</v>
      </c>
      <c r="AQ12">
        <v>18</v>
      </c>
      <c r="AR12">
        <v>19</v>
      </c>
      <c r="AS12">
        <v>20</v>
      </c>
      <c r="AT12" t="str">
        <v>A. Listening and Viewing</v>
      </c>
      <c r="AX12" t="str">
        <v>B. Sight Word Recognition</v>
      </c>
      <c r="AZ12" t="str">
        <v>C. Speaking</v>
      </c>
      <c r="BF12" t="str">
        <v>D. Reading</v>
      </c>
      <c r="BL12" t="str">
        <v>E. Comprehension</v>
      </c>
      <c r="BN12" t="str">
        <v>F. Concepts of Print</v>
      </c>
      <c r="BQ12" t="str">
        <v>G. Writing</v>
      </c>
    </row>
    <row r="13" ht="51" customHeight="1">
      <c r="AT13">
        <v>1</v>
      </c>
      <c r="AU13">
        <v>2</v>
      </c>
      <c r="AV13">
        <v>3</v>
      </c>
      <c r="AW13">
        <v>4</v>
      </c>
      <c r="AX13">
        <v>5</v>
      </c>
      <c r="AY13">
        <v>6</v>
      </c>
      <c r="AZ13">
        <v>7</v>
      </c>
      <c r="BA13">
        <v>8</v>
      </c>
      <c r="BB13">
        <v>9</v>
      </c>
      <c r="BC13">
        <v>10</v>
      </c>
      <c r="BD13">
        <v>11</v>
      </c>
      <c r="BE13">
        <v>12</v>
      </c>
      <c r="BF13" t="str">
        <v>Phonological / Phonemic Awareness</v>
      </c>
      <c r="BG13" t="str">
        <v>Letter Knowledge</v>
      </c>
      <c r="BJ13" t="str">
        <v>Letter Sound Relationship</v>
      </c>
      <c r="BL13">
        <v>19</v>
      </c>
      <c r="BM13">
        <v>20</v>
      </c>
      <c r="BN13">
        <v>21</v>
      </c>
      <c r="BO13">
        <v>22</v>
      </c>
      <c r="BP13">
        <v>23</v>
      </c>
      <c r="BQ13">
        <v>24</v>
      </c>
      <c r="BR13">
        <v>25</v>
      </c>
      <c r="BS13">
        <v>26</v>
      </c>
      <c r="BT13">
        <v>27</v>
      </c>
      <c r="BU13">
        <v>28</v>
      </c>
    </row>
    <row r="14" ht="15.75" customHeight="1">
      <c r="BF14">
        <v>13</v>
      </c>
      <c r="BG14">
        <v>14</v>
      </c>
      <c r="BH14">
        <v>15</v>
      </c>
      <c r="BI14">
        <v>16</v>
      </c>
      <c r="BJ14">
        <v>17</v>
      </c>
      <c r="BK14">
        <v>18</v>
      </c>
    </row>
    <row r="15" ht="15.75" customHeight="1">
      <c r="B15" t="str">
        <v>MALE</v>
      </c>
    </row>
    <row r="16" ht="15.75" customHeight="1">
      <c r="B16">
        <v>1</v>
      </c>
      <c r="C16" t="str">
        <f>IF('INPUT DATA'!L11="","",'INPUT DATA'!L11)</f>
        <v/>
      </c>
      <c r="F16" t="str">
        <f>IF('INPUT DATA'!M11="","",'INPUT DATA'!M11)</f>
        <v/>
      </c>
      <c r="H16" s="2" t="str">
        <f>IF('INPUT DATA'!N11="","",'INPUT DATA'!N11)</f>
        <v/>
      </c>
      <c r="I16" s="3" t="str">
        <f>IF(H16="","",DATEDIF(H16,DATE(2026,6,8),"Y"))</f>
        <v/>
      </c>
      <c r="J16" s="3" t="str">
        <f>IF(H16="","",DATEDIF(H16,DATE(2026,6,8),"YM"))</f>
        <v/>
      </c>
      <c r="K16" s="3" t="str">
        <f>IF(H16="","",DATEDIF(H16,DATE(2027,4,8),"Y"))</f>
        <v/>
      </c>
      <c r="L16" s="3" t="str">
        <f>IF(H16="","",DATEDIF(H16,DATE(2027,4,8),"YM"))</f>
        <v/>
      </c>
      <c r="M16" t="str">
        <v>M</v>
      </c>
    </row>
    <row r="17" ht="15.75" customHeight="1">
      <c r="B17">
        <v>2</v>
      </c>
      <c r="C17" t="str">
        <f>IF('INPUT DATA'!L12="","",'INPUT DATA'!L12)</f>
        <v/>
      </c>
      <c r="F17" t="str">
        <f>IF('INPUT DATA'!M12="","",'INPUT DATA'!M12)</f>
        <v/>
      </c>
      <c r="H17" s="2" t="str">
        <f>IF('INPUT DATA'!N12="","",'INPUT DATA'!N12)</f>
        <v/>
      </c>
      <c r="I17" s="3" t="str">
        <f>IF(H17="","",DATEDIF(H17,DATE(2026,6,8),"Y"))</f>
        <v/>
      </c>
      <c r="J17" s="3" t="str">
        <f>IF(H17="","",DATEDIF(H17,DATE(2026,6,8),"YM"))</f>
        <v/>
      </c>
      <c r="K17" s="3" t="str">
        <f>IF(H17="","",DATEDIF(H17,DATE(2027,4,8),"Y"))</f>
        <v/>
      </c>
      <c r="L17" s="3" t="str">
        <f>IF(H17="","",DATEDIF(H17,DATE(2027,4,8),"YM"))</f>
        <v/>
      </c>
      <c r="M17" t="str">
        <v>M</v>
      </c>
    </row>
    <row r="18" ht="15.75" customHeight="1">
      <c r="B18">
        <v>3</v>
      </c>
      <c r="C18" t="str">
        <f>IF('INPUT DATA'!L13="","",'INPUT DATA'!L13)</f>
        <v/>
      </c>
      <c r="F18" t="str">
        <f>IF('INPUT DATA'!M13="","",'INPUT DATA'!M13)</f>
        <v/>
      </c>
      <c r="H18" s="2" t="str">
        <f>IF('INPUT DATA'!N13="","",'INPUT DATA'!N13)</f>
        <v/>
      </c>
      <c r="I18" s="3" t="str">
        <f>IF(H18="","",DATEDIF(H18,DATE(2026,6,8),"Y"))</f>
        <v/>
      </c>
      <c r="J18" s="3" t="str">
        <f>IF(H18="","",DATEDIF(H18,DATE(2026,6,8),"YM"))</f>
        <v/>
      </c>
      <c r="K18" s="3" t="str">
        <f>IF(H18="","",DATEDIF(H18,DATE(2027,4,8),"Y"))</f>
        <v/>
      </c>
      <c r="L18" s="3" t="str">
        <f>IF(H18="","",DATEDIF(H18,DATE(2027,4,8),"YM"))</f>
        <v/>
      </c>
      <c r="M18" t="str">
        <v>M</v>
      </c>
    </row>
    <row r="19" ht="15.75" customHeight="1">
      <c r="B19">
        <v>4</v>
      </c>
      <c r="C19" t="str">
        <f>IF('INPUT DATA'!L14="","",'INPUT DATA'!L14)</f>
        <v/>
      </c>
      <c r="F19" t="str">
        <f>IF('INPUT DATA'!M14="","",'INPUT DATA'!M14)</f>
        <v/>
      </c>
      <c r="H19" s="2" t="str">
        <f>IF('INPUT DATA'!N14="","",'INPUT DATA'!N14)</f>
        <v/>
      </c>
      <c r="I19" s="3" t="str">
        <f>IF(H19="","",DATEDIF(H19,DATE(2026,6,8),"Y"))</f>
        <v/>
      </c>
      <c r="J19" s="3" t="str">
        <f>IF(H19="","",DATEDIF(H19,DATE(2026,6,8),"YM"))</f>
        <v/>
      </c>
      <c r="K19" s="3" t="str">
        <f>IF(H19="","",DATEDIF(H19,DATE(2027,4,8),"Y"))</f>
        <v/>
      </c>
      <c r="L19" s="3" t="str">
        <f>IF(H19="","",DATEDIF(H19,DATE(2027,4,8),"YM"))</f>
        <v/>
      </c>
      <c r="M19" t="str">
        <v>M</v>
      </c>
    </row>
    <row r="20" ht="15.75" customHeight="1">
      <c r="B20">
        <v>5</v>
      </c>
      <c r="C20" t="str">
        <f>IF('INPUT DATA'!L15="","",'INPUT DATA'!L15)</f>
        <v/>
      </c>
      <c r="F20" t="str">
        <f>IF('INPUT DATA'!M15="","",'INPUT DATA'!M15)</f>
        <v/>
      </c>
      <c r="H20" s="2" t="str">
        <f>IF('INPUT DATA'!N15="","",'INPUT DATA'!N15)</f>
        <v/>
      </c>
      <c r="I20" s="3" t="str">
        <f>IF(H20="","",DATEDIF(H20,DATE(2026,6,8),"Y"))</f>
        <v/>
      </c>
      <c r="J20" s="3" t="str">
        <f>IF(H20="","",DATEDIF(H20,DATE(2026,6,8),"YM"))</f>
        <v/>
      </c>
      <c r="K20" s="3" t="str">
        <f>IF(H20="","",DATEDIF(H20,DATE(2027,4,8),"Y"))</f>
        <v/>
      </c>
      <c r="L20" s="3" t="str">
        <f>IF(H20="","",DATEDIF(H20,DATE(2027,4,8),"YM"))</f>
        <v/>
      </c>
      <c r="M20" t="str">
        <v>M</v>
      </c>
    </row>
    <row r="21" ht="15.75" customHeight="1">
      <c r="B21">
        <v>6</v>
      </c>
      <c r="C21" t="str">
        <f>IF('INPUT DATA'!L16="","",'INPUT DATA'!L16)</f>
        <v/>
      </c>
      <c r="F21" t="str">
        <f>IF('INPUT DATA'!M16="","",'INPUT DATA'!M16)</f>
        <v/>
      </c>
      <c r="H21" s="2" t="str">
        <f>IF('INPUT DATA'!N16="","",'INPUT DATA'!N16)</f>
        <v/>
      </c>
      <c r="I21" s="3" t="str">
        <f>IF(H21="","",DATEDIF(H21,DATE(2026,6,8),"Y"))</f>
        <v/>
      </c>
      <c r="J21" s="3" t="str">
        <f>IF(H21="","",DATEDIF(H21,DATE(2026,6,8),"YM"))</f>
        <v/>
      </c>
      <c r="K21" s="3" t="str">
        <f>IF(H21="","",DATEDIF(H21,DATE(2027,4,8),"Y"))</f>
        <v/>
      </c>
      <c r="L21" s="3" t="str">
        <f>IF(H21="","",DATEDIF(H21,DATE(2027,4,8),"YM"))</f>
        <v/>
      </c>
      <c r="M21" t="str">
        <v>M</v>
      </c>
    </row>
    <row r="22" ht="15.75" customHeight="1">
      <c r="B22">
        <v>7</v>
      </c>
      <c r="C22" t="str">
        <f>IF('INPUT DATA'!L17="","",'INPUT DATA'!L17)</f>
        <v/>
      </c>
      <c r="F22" t="str">
        <f>IF('INPUT DATA'!M17="","",'INPUT DATA'!M17)</f>
        <v/>
      </c>
      <c r="H22" s="2" t="str">
        <f>IF('INPUT DATA'!N17="","",'INPUT DATA'!N17)</f>
        <v/>
      </c>
      <c r="I22" s="3" t="str">
        <f>IF(H22="","",DATEDIF(H22,DATE(2026,6,8),"Y"))</f>
        <v/>
      </c>
      <c r="J22" s="3" t="str">
        <f>IF(H22="","",DATEDIF(H22,DATE(2026,6,8),"YM"))</f>
        <v/>
      </c>
      <c r="K22" s="3" t="str">
        <f>IF(H22="","",DATEDIF(H22,DATE(2027,4,8),"Y"))</f>
        <v/>
      </c>
      <c r="L22" s="3" t="str">
        <f>IF(H22="","",DATEDIF(H22,DATE(2027,4,8),"YM"))</f>
        <v/>
      </c>
      <c r="M22" t="str">
        <v>M</v>
      </c>
    </row>
    <row r="23" ht="15.75" customHeight="1">
      <c r="B23">
        <v>8</v>
      </c>
      <c r="C23" t="str">
        <f>IF('INPUT DATA'!L18="","",'INPUT DATA'!L18)</f>
        <v/>
      </c>
      <c r="F23" t="str">
        <f>IF('INPUT DATA'!M18="","",'INPUT DATA'!M18)</f>
        <v/>
      </c>
      <c r="H23" s="2" t="str">
        <f>IF('INPUT DATA'!N18="","",'INPUT DATA'!N18)</f>
        <v/>
      </c>
      <c r="I23" s="3" t="str">
        <f>IF(H23="","",DATEDIF(H23,DATE(2026,6,8),"Y"))</f>
        <v/>
      </c>
      <c r="J23" s="3" t="str">
        <f>IF(H23="","",DATEDIF(H23,DATE(2026,6,8),"YM"))</f>
        <v/>
      </c>
      <c r="K23" s="3" t="str">
        <f>IF(H23="","",DATEDIF(H23,DATE(2027,4,8),"Y"))</f>
        <v/>
      </c>
      <c r="L23" s="3" t="str">
        <f>IF(H23="","",DATEDIF(H23,DATE(2027,4,8),"YM"))</f>
        <v/>
      </c>
      <c r="M23" t="str">
        <v>M</v>
      </c>
    </row>
    <row r="24" ht="15.75" customHeight="1">
      <c r="B24">
        <v>9</v>
      </c>
      <c r="C24" t="str">
        <f>IF('INPUT DATA'!L19="","",'INPUT DATA'!L19)</f>
        <v/>
      </c>
      <c r="F24" t="str">
        <f>IF('INPUT DATA'!M19="","",'INPUT DATA'!M19)</f>
        <v/>
      </c>
      <c r="H24" s="2" t="str">
        <f>IF('INPUT DATA'!N19="","",'INPUT DATA'!N19)</f>
        <v/>
      </c>
      <c r="I24" s="3" t="str">
        <f>IF(H24="","",DATEDIF(H24,DATE(2026,6,8),"Y"))</f>
        <v/>
      </c>
      <c r="J24" s="3" t="str">
        <f>IF(H24="","",DATEDIF(H24,DATE(2026,6,8),"YM"))</f>
        <v/>
      </c>
      <c r="K24" s="3" t="str">
        <f>IF(H24="","",DATEDIF(H24,DATE(2027,4,8),"Y"))</f>
        <v/>
      </c>
      <c r="L24" s="3" t="str">
        <f>IF(H24="","",DATEDIF(H24,DATE(2027,4,8),"YM"))</f>
        <v/>
      </c>
      <c r="M24" t="str">
        <v>M</v>
      </c>
    </row>
    <row r="25" ht="15.75" customHeight="1">
      <c r="B25">
        <v>10</v>
      </c>
      <c r="C25" t="str">
        <f>IF('INPUT DATA'!L20="","",'INPUT DATA'!L20)</f>
        <v/>
      </c>
      <c r="F25" t="str">
        <f>IF('INPUT DATA'!M20="","",'INPUT DATA'!M20)</f>
        <v/>
      </c>
      <c r="H25" s="2" t="str">
        <f>IF('INPUT DATA'!N20="","",'INPUT DATA'!N20)</f>
        <v/>
      </c>
      <c r="I25" s="3" t="str">
        <f>IF(H25="","",DATEDIF(H25,DATE(2026,6,8),"Y"))</f>
        <v/>
      </c>
      <c r="J25" s="3" t="str">
        <f>IF(H25="","",DATEDIF(H25,DATE(2026,6,8),"YM"))</f>
        <v/>
      </c>
      <c r="K25" s="3" t="str">
        <f>IF(H25="","",DATEDIF(H25,DATE(2027,4,8),"Y"))</f>
        <v/>
      </c>
      <c r="L25" s="3" t="str">
        <f>IF(H25="","",DATEDIF(H25,DATE(2027,4,8),"YM"))</f>
        <v/>
      </c>
      <c r="M25" t="str">
        <v>M</v>
      </c>
    </row>
    <row r="26" ht="15.75" customHeight="1">
      <c r="B26">
        <v>11</v>
      </c>
      <c r="C26" t="str">
        <f>IF('INPUT DATA'!L21="","",'INPUT DATA'!L21)</f>
        <v/>
      </c>
      <c r="F26" t="str">
        <f>IF('INPUT DATA'!M21="","",'INPUT DATA'!M21)</f>
        <v/>
      </c>
      <c r="H26" s="2" t="str">
        <f>IF('INPUT DATA'!N21="","",'INPUT DATA'!N21)</f>
        <v/>
      </c>
      <c r="I26" s="3" t="str">
        <f>IF(H26="","",DATEDIF(H26,DATE(2026,6,8),"Y"))</f>
        <v/>
      </c>
      <c r="J26" s="3" t="str">
        <f>IF(H26="","",DATEDIF(H26,DATE(2026,6,8),"YM"))</f>
        <v/>
      </c>
      <c r="K26" s="3" t="str">
        <f>IF(H26="","",DATEDIF(H26,DATE(2027,4,8),"Y"))</f>
        <v/>
      </c>
      <c r="L26" s="3" t="str">
        <f>IF(H26="","",DATEDIF(H26,DATE(2027,4,8),"YM"))</f>
        <v/>
      </c>
      <c r="M26" t="str">
        <v>M</v>
      </c>
    </row>
    <row r="27" ht="15.75" customHeight="1">
      <c r="B27">
        <v>12</v>
      </c>
      <c r="C27" t="str">
        <f>IF('INPUT DATA'!L22="","",'INPUT DATA'!L22)</f>
        <v/>
      </c>
      <c r="F27" t="str">
        <f>IF('INPUT DATA'!M22="","",'INPUT DATA'!M22)</f>
        <v/>
      </c>
      <c r="H27" s="2" t="str">
        <f>IF('INPUT DATA'!N22="","",'INPUT DATA'!N22)</f>
        <v/>
      </c>
      <c r="I27" s="3" t="str">
        <f>IF(H27="","",DATEDIF(H27,DATE(2026,6,8),"Y"))</f>
        <v/>
      </c>
      <c r="J27" s="3" t="str">
        <f>IF(H27="","",DATEDIF(H27,DATE(2026,6,8),"YM"))</f>
        <v/>
      </c>
      <c r="K27" s="3" t="str">
        <f>IF(H27="","",DATEDIF(H27,DATE(2027,4,8),"Y"))</f>
        <v/>
      </c>
      <c r="L27" s="3" t="str">
        <f>IF(H27="","",DATEDIF(H27,DATE(2027,4,8),"YM"))</f>
        <v/>
      </c>
      <c r="M27" t="str">
        <v>M</v>
      </c>
    </row>
    <row r="28" ht="15.75" customHeight="1">
      <c r="B28">
        <v>13</v>
      </c>
      <c r="C28" t="str">
        <f>IF('INPUT DATA'!L23="","",'INPUT DATA'!L23)</f>
        <v/>
      </c>
      <c r="F28" t="str">
        <f>IF('INPUT DATA'!M23="","",'INPUT DATA'!M23)</f>
        <v/>
      </c>
      <c r="H28" s="2" t="str">
        <f>IF('INPUT DATA'!N23="","",'INPUT DATA'!N23)</f>
        <v/>
      </c>
      <c r="I28" s="3" t="str">
        <f>IF(H28="","",DATEDIF(H28,DATE(2026,6,8),"Y"))</f>
        <v/>
      </c>
      <c r="J28" s="3" t="str">
        <f>IF(H28="","",DATEDIF(H28,DATE(2026,6,8),"YM"))</f>
        <v/>
      </c>
      <c r="K28" s="3" t="str">
        <f>IF(H28="","",DATEDIF(H28,DATE(2027,4,8),"Y"))</f>
        <v/>
      </c>
      <c r="L28" s="3" t="str">
        <f>IF(H28="","",DATEDIF(H28,DATE(2027,4,8),"YM"))</f>
        <v/>
      </c>
      <c r="M28" t="str">
        <v>M</v>
      </c>
    </row>
    <row r="29" ht="15.75" customHeight="1">
      <c r="B29">
        <v>14</v>
      </c>
      <c r="C29" t="str">
        <f>IF('INPUT DATA'!L24="","",'INPUT DATA'!L24)</f>
        <v/>
      </c>
      <c r="F29" t="str">
        <f>IF('INPUT DATA'!M24="","",'INPUT DATA'!M24)</f>
        <v/>
      </c>
      <c r="H29" s="2" t="str">
        <f>IF('INPUT DATA'!N24="","",'INPUT DATA'!N24)</f>
        <v/>
      </c>
      <c r="I29" s="3" t="str">
        <f>IF(H29="","",DATEDIF(H29,DATE(2026,6,8),"Y"))</f>
        <v/>
      </c>
      <c r="J29" s="3" t="str">
        <f>IF(H29="","",DATEDIF(H29,DATE(2026,6,8),"YM"))</f>
        <v/>
      </c>
      <c r="K29" s="3" t="str">
        <f>IF(H29="","",DATEDIF(H29,DATE(2027,4,8),"Y"))</f>
        <v/>
      </c>
      <c r="L29" s="3" t="str">
        <f>IF(H29="","",DATEDIF(H29,DATE(2027,4,8),"YM"))</f>
        <v/>
      </c>
      <c r="M29" t="str">
        <v>M</v>
      </c>
    </row>
    <row r="30" ht="15.75" customHeight="1">
      <c r="B30">
        <v>15</v>
      </c>
      <c r="C30" t="str">
        <f>IF('INPUT DATA'!L25="","",'INPUT DATA'!L25)</f>
        <v/>
      </c>
      <c r="F30" t="str">
        <f>IF('INPUT DATA'!M25="","",'INPUT DATA'!M25)</f>
        <v/>
      </c>
      <c r="H30" s="2" t="str">
        <f>IF('INPUT DATA'!N25="","",'INPUT DATA'!N25)</f>
        <v/>
      </c>
      <c r="I30" s="3" t="str">
        <f>IF(H30="","",DATEDIF(H30,DATE(2026,6,8),"Y"))</f>
        <v/>
      </c>
      <c r="J30" s="3" t="str">
        <f>IF(H30="","",DATEDIF(H30,DATE(2026,6,8),"YM"))</f>
        <v/>
      </c>
      <c r="K30" s="3" t="str">
        <f>IF(H30="","",DATEDIF(H30,DATE(2027,4,8),"Y"))</f>
        <v/>
      </c>
      <c r="L30" s="3" t="str">
        <f>IF(H30="","",DATEDIF(H30,DATE(2027,4,8),"YM"))</f>
        <v/>
      </c>
      <c r="M30" t="str">
        <v>M</v>
      </c>
    </row>
    <row r="31" ht="15.75" customHeight="1">
      <c r="B31">
        <v>16</v>
      </c>
      <c r="C31" t="str">
        <f>IF('INPUT DATA'!L26="","",'INPUT DATA'!L26)</f>
        <v/>
      </c>
      <c r="F31" t="str">
        <f>IF('INPUT DATA'!M26="","",'INPUT DATA'!M26)</f>
        <v/>
      </c>
      <c r="H31" s="2" t="str">
        <f>IF('INPUT DATA'!N26="","",'INPUT DATA'!N26)</f>
        <v/>
      </c>
      <c r="I31" s="3" t="str">
        <f>IF(H31="","",DATEDIF(H31,DATE(2026,6,8),"Y"))</f>
        <v/>
      </c>
      <c r="J31" s="3" t="str">
        <f>IF(H31="","",DATEDIF(H31,DATE(2026,6,8),"YM"))</f>
        <v/>
      </c>
      <c r="K31" s="3" t="str">
        <f>IF(H31="","",DATEDIF(H31,DATE(2027,4,8),"Y"))</f>
        <v/>
      </c>
      <c r="L31" s="3" t="str">
        <f>IF(H31="","",DATEDIF(H31,DATE(2027,4,8),"YM"))</f>
        <v/>
      </c>
      <c r="M31" t="str">
        <v>M</v>
      </c>
    </row>
    <row r="32" ht="15.75" customHeight="1">
      <c r="B32">
        <v>17</v>
      </c>
      <c r="C32" t="str">
        <f>IF('INPUT DATA'!L27="","",'INPUT DATA'!L27)</f>
        <v/>
      </c>
      <c r="F32" t="str">
        <f>IF('INPUT DATA'!M27="","",'INPUT DATA'!M27)</f>
        <v/>
      </c>
      <c r="H32" s="2" t="str">
        <f>IF('INPUT DATA'!N27="","",'INPUT DATA'!N27)</f>
        <v/>
      </c>
      <c r="I32" s="3" t="str">
        <f>IF(H32="","",DATEDIF(H32,DATE(2026,6,8),"Y"))</f>
        <v/>
      </c>
      <c r="J32" s="3" t="str">
        <f>IF(H32="","",DATEDIF(H32,DATE(2026,6,8),"YM"))</f>
        <v/>
      </c>
      <c r="K32" s="3" t="str">
        <f>IF(H32="","",DATEDIF(H32,DATE(2027,4,8),"Y"))</f>
        <v/>
      </c>
      <c r="L32" s="3" t="str">
        <f>IF(H32="","",DATEDIF(H32,DATE(2027,4,8),"YM"))</f>
        <v/>
      </c>
      <c r="M32" t="str">
        <v>M</v>
      </c>
    </row>
    <row r="33" ht="15.75" customHeight="1">
      <c r="B33">
        <v>18</v>
      </c>
      <c r="C33" t="str">
        <f>IF('INPUT DATA'!L28="","",'INPUT DATA'!L28)</f>
        <v/>
      </c>
      <c r="F33" t="str">
        <f>IF('INPUT DATA'!M28="","",'INPUT DATA'!M28)</f>
        <v/>
      </c>
      <c r="H33" s="2" t="str">
        <f>IF('INPUT DATA'!N28="","",'INPUT DATA'!N28)</f>
        <v/>
      </c>
      <c r="I33" s="3" t="str">
        <f>IF(H33="","",DATEDIF(H33,DATE(2026,6,8),"Y"))</f>
        <v/>
      </c>
      <c r="J33" s="3" t="str">
        <f>IF(H33="","",DATEDIF(H33,DATE(2026,6,8),"YM"))</f>
        <v/>
      </c>
      <c r="K33" s="3" t="str">
        <f>IF(H33="","",DATEDIF(H33,DATE(2027,4,8),"Y"))</f>
        <v/>
      </c>
      <c r="L33" s="3" t="str">
        <f>IF(H33="","",DATEDIF(H33,DATE(2027,4,8),"YM"))</f>
        <v/>
      </c>
      <c r="M33" t="str">
        <v>M</v>
      </c>
    </row>
    <row r="34" ht="15.75" customHeight="1">
      <c r="B34">
        <v>19</v>
      </c>
      <c r="C34" t="str">
        <f>IF('INPUT DATA'!L29="","",'INPUT DATA'!L29)</f>
        <v/>
      </c>
      <c r="F34" t="str">
        <f>IF('INPUT DATA'!M29="","",'INPUT DATA'!M29)</f>
        <v/>
      </c>
      <c r="H34" s="2" t="str">
        <f>IF('INPUT DATA'!N29="","",'INPUT DATA'!N29)</f>
        <v/>
      </c>
      <c r="I34" s="3" t="str">
        <f>IF(H34="","",DATEDIF(H34,DATE(2026,6,8),"Y"))</f>
        <v/>
      </c>
      <c r="J34" s="3" t="str">
        <f>IF(H34="","",DATEDIF(H34,DATE(2026,6,8),"YM"))</f>
        <v/>
      </c>
      <c r="K34" s="3" t="str">
        <f>IF(H34="","",DATEDIF(H34,DATE(2027,4,8),"Y"))</f>
        <v/>
      </c>
      <c r="L34" s="3" t="str">
        <f>IF(H34="","",DATEDIF(H34,DATE(2027,4,8),"YM"))</f>
        <v/>
      </c>
      <c r="M34" t="str">
        <v>M</v>
      </c>
    </row>
    <row r="35" ht="15.75" customHeight="1">
      <c r="B35">
        <v>20</v>
      </c>
      <c r="C35" t="str">
        <f>IF('INPUT DATA'!L30="","",'INPUT DATA'!L30)</f>
        <v/>
      </c>
      <c r="F35" t="str">
        <f>IF('INPUT DATA'!M30="","",'INPUT DATA'!M30)</f>
        <v/>
      </c>
      <c r="H35" s="2" t="str">
        <f>IF('INPUT DATA'!N30="","",'INPUT DATA'!N30)</f>
        <v/>
      </c>
      <c r="I35" s="3" t="str">
        <f>IF(H35="","",DATEDIF(H35,DATE(2026,6,8),"Y"))</f>
        <v/>
      </c>
      <c r="J35" s="3" t="str">
        <f>IF(H35="","",DATEDIF(H35,DATE(2026,6,8),"YM"))</f>
        <v/>
      </c>
      <c r="K35" s="3" t="str">
        <f>IF(H35="","",DATEDIF(H35,DATE(2027,4,8),"Y"))</f>
        <v/>
      </c>
      <c r="L35" s="3" t="str">
        <f>IF(H35="","",DATEDIF(H35,DATE(2027,4,8),"YM"))</f>
        <v/>
      </c>
      <c r="M35" t="str">
        <v>M</v>
      </c>
    </row>
    <row r="36" ht="15.75" customHeight="1">
      <c r="B36">
        <v>21</v>
      </c>
      <c r="C36" t="str">
        <f>IF('INPUT DATA'!L31="","",'INPUT DATA'!L31)</f>
        <v/>
      </c>
      <c r="F36" t="str">
        <f>IF('INPUT DATA'!M31="","",'INPUT DATA'!M31)</f>
        <v/>
      </c>
      <c r="H36" s="2" t="str">
        <f>IF('INPUT DATA'!N31="","",'INPUT DATA'!N31)</f>
        <v/>
      </c>
      <c r="I36" s="3" t="str">
        <f>IF(H36="","",DATEDIF(H36,DATE(2026,6,8),"Y"))</f>
        <v/>
      </c>
      <c r="J36" s="3" t="str">
        <f>IF(H36="","",DATEDIF(H36,DATE(2026,6,8),"YM"))</f>
        <v/>
      </c>
      <c r="K36" s="3" t="str">
        <f>IF(H36="","",DATEDIF(H36,DATE(2027,4,8),"Y"))</f>
        <v/>
      </c>
      <c r="L36" s="3" t="str">
        <f>IF(H36="","",DATEDIF(H36,DATE(2027,4,8),"YM"))</f>
        <v/>
      </c>
      <c r="M36" t="str">
        <v>M</v>
      </c>
    </row>
    <row r="37" ht="15.75" customHeight="1">
      <c r="B37">
        <v>22</v>
      </c>
      <c r="C37" t="str">
        <f>IF('INPUT DATA'!L32="","",'INPUT DATA'!L32)</f>
        <v/>
      </c>
      <c r="F37" t="str">
        <f>IF('INPUT DATA'!M32="","",'INPUT DATA'!M32)</f>
        <v/>
      </c>
      <c r="H37" s="2" t="str">
        <f>IF('INPUT DATA'!N32="","",'INPUT DATA'!N32)</f>
        <v/>
      </c>
      <c r="I37" s="3" t="str">
        <f>IF(H37="","",DATEDIF(H37,DATE(2026,6,8),"Y"))</f>
        <v/>
      </c>
      <c r="J37" s="3" t="str">
        <f>IF(H37="","",DATEDIF(H37,DATE(2026,6,8),"YM"))</f>
        <v/>
      </c>
      <c r="K37" s="3" t="str">
        <f>IF(H37="","",DATEDIF(H37,DATE(2027,4,8),"Y"))</f>
        <v/>
      </c>
      <c r="L37" s="3" t="str">
        <f>IF(H37="","",DATEDIF(H37,DATE(2027,4,8),"YM"))</f>
        <v/>
      </c>
      <c r="M37" t="str">
        <v>M</v>
      </c>
    </row>
    <row r="38" ht="15.75" customHeight="1">
      <c r="B38">
        <v>23</v>
      </c>
      <c r="C38" t="str">
        <f>IF('INPUT DATA'!L33="","",'INPUT DATA'!L33)</f>
        <v/>
      </c>
      <c r="F38" t="str">
        <f>IF('INPUT DATA'!M33="","",'INPUT DATA'!M33)</f>
        <v/>
      </c>
      <c r="H38" s="2" t="str">
        <f>IF('INPUT DATA'!N33="","",'INPUT DATA'!N33)</f>
        <v/>
      </c>
      <c r="I38" s="3" t="str">
        <f>IF(H38="","",DATEDIF(H38,DATE(2026,6,8),"Y"))</f>
        <v/>
      </c>
      <c r="J38" s="3" t="str">
        <f>IF(H38="","",DATEDIF(H38,DATE(2026,6,8),"YM"))</f>
        <v/>
      </c>
      <c r="K38" s="3" t="str">
        <f>IF(H38="","",DATEDIF(H38,DATE(2027,4,8),"Y"))</f>
        <v/>
      </c>
      <c r="L38" s="3" t="str">
        <f>IF(H38="","",DATEDIF(H38,DATE(2027,4,8),"YM"))</f>
        <v/>
      </c>
      <c r="M38" t="str">
        <v>M</v>
      </c>
    </row>
    <row r="39" ht="15.75" customHeight="1">
      <c r="B39">
        <v>24</v>
      </c>
      <c r="C39" t="str">
        <f>IF('INPUT DATA'!L34="","",'INPUT DATA'!L34)</f>
        <v/>
      </c>
      <c r="F39" t="str">
        <f>IF('INPUT DATA'!M34="","",'INPUT DATA'!M34)</f>
        <v/>
      </c>
      <c r="H39" s="2" t="str">
        <f>IF('INPUT DATA'!N34="","",'INPUT DATA'!N34)</f>
        <v/>
      </c>
      <c r="I39" s="3" t="str">
        <f>IF(H39="","",DATEDIF(H39,DATE(2026,6,8),"Y"))</f>
        <v/>
      </c>
      <c r="J39" s="3" t="str">
        <f>IF(H39="","",DATEDIF(H39,DATE(2026,6,8),"YM"))</f>
        <v/>
      </c>
      <c r="K39" s="3" t="str">
        <f>IF(H39="","",DATEDIF(H39,DATE(2027,4,8),"Y"))</f>
        <v/>
      </c>
      <c r="L39" s="3" t="str">
        <f>IF(H39="","",DATEDIF(H39,DATE(2027,4,8),"YM"))</f>
        <v/>
      </c>
      <c r="M39" t="str">
        <v>M</v>
      </c>
    </row>
    <row r="40" ht="15.75" customHeight="1">
      <c r="B40">
        <v>25</v>
      </c>
      <c r="C40" t="str">
        <f>IF('INPUT DATA'!L35="","",'INPUT DATA'!L35)</f>
        <v/>
      </c>
      <c r="F40" t="str">
        <f>IF('INPUT DATA'!M35="","",'INPUT DATA'!M35)</f>
        <v/>
      </c>
      <c r="H40" s="2" t="str">
        <f>IF('INPUT DATA'!N35="","",'INPUT DATA'!N35)</f>
        <v/>
      </c>
      <c r="I40" s="3" t="str">
        <f>IF(H40="","",DATEDIF(H40,DATE(2026,6,8),"Y"))</f>
        <v/>
      </c>
      <c r="J40" s="3" t="str">
        <f>IF(H40="","",DATEDIF(H40,DATE(2026,6,8),"YM"))</f>
        <v/>
      </c>
      <c r="K40" s="3" t="str">
        <f>IF(H40="","",DATEDIF(H40,DATE(2027,4,8),"Y"))</f>
        <v/>
      </c>
      <c r="L40" s="3" t="str">
        <f>IF(H40="","",DATEDIF(H40,DATE(2027,4,8),"YM"))</f>
        <v/>
      </c>
      <c r="M40" t="str">
        <v>M</v>
      </c>
    </row>
    <row r="41" ht="15.75" customHeight="1">
      <c r="B41">
        <v>26</v>
      </c>
      <c r="C41" t="str">
        <f>IF('INPUT DATA'!L36="","",'INPUT DATA'!L36)</f>
        <v/>
      </c>
      <c r="F41" t="str">
        <f>IF('INPUT DATA'!M36="","",'INPUT DATA'!M36)</f>
        <v/>
      </c>
      <c r="H41" s="2" t="str">
        <f>IF('INPUT DATA'!N36="","",'INPUT DATA'!N36)</f>
        <v/>
      </c>
      <c r="I41" s="3" t="str">
        <f>IF(H41="","",DATEDIF(H41,DATE(2026,6,8),"Y"))</f>
        <v/>
      </c>
      <c r="J41" s="3" t="str">
        <f>IF(H41="","",DATEDIF(H41,DATE(2026,6,8),"YM"))</f>
        <v/>
      </c>
      <c r="K41" s="3" t="str">
        <f>IF(H41="","",DATEDIF(H41,DATE(2027,4,8),"Y"))</f>
        <v/>
      </c>
      <c r="L41" s="3" t="str">
        <f>IF(H41="","",DATEDIF(H41,DATE(2027,4,8),"YM"))</f>
        <v/>
      </c>
      <c r="M41" t="str">
        <v>M</v>
      </c>
    </row>
    <row r="42" ht="15.75" customHeight="1">
      <c r="B42">
        <v>27</v>
      </c>
      <c r="C42" t="str">
        <f>IF('INPUT DATA'!L37="","",'INPUT DATA'!L37)</f>
        <v/>
      </c>
      <c r="F42" t="str">
        <f>IF('INPUT DATA'!M37="","",'INPUT DATA'!M37)</f>
        <v/>
      </c>
      <c r="H42" s="2" t="str">
        <f>IF('INPUT DATA'!N37="","",'INPUT DATA'!N37)</f>
        <v/>
      </c>
      <c r="I42" s="3" t="str">
        <f>IF(H42="","",DATEDIF(H42,DATE(2026,6,8),"Y"))</f>
        <v/>
      </c>
      <c r="J42" s="3" t="str">
        <f>IF(H42="","",DATEDIF(H42,DATE(2026,6,8),"YM"))</f>
        <v/>
      </c>
      <c r="K42" s="3" t="str">
        <f>IF(H42="","",DATEDIF(H42,DATE(2027,4,8),"Y"))</f>
        <v/>
      </c>
      <c r="L42" s="3" t="str">
        <f>IF(H42="","",DATEDIF(H42,DATE(2027,4,8),"YM"))</f>
        <v/>
      </c>
      <c r="M42" t="str">
        <v>M</v>
      </c>
    </row>
    <row r="43" ht="15.75" customHeight="1">
      <c r="B43">
        <v>28</v>
      </c>
      <c r="C43" t="str">
        <f>IF('INPUT DATA'!L38="","",'INPUT DATA'!L38)</f>
        <v/>
      </c>
      <c r="F43" t="str">
        <f>IF('INPUT DATA'!M38="","",'INPUT DATA'!M38)</f>
        <v/>
      </c>
      <c r="H43" s="2" t="str">
        <f>IF('INPUT DATA'!N38="","",'INPUT DATA'!N38)</f>
        <v/>
      </c>
      <c r="I43" s="3" t="str">
        <f>IF(H43="","",DATEDIF(H43,DATE(2026,6,8),"Y"))</f>
        <v/>
      </c>
      <c r="J43" s="3" t="str">
        <f>IF(H43="","",DATEDIF(H43,DATE(2026,6,8),"YM"))</f>
        <v/>
      </c>
      <c r="K43" s="3" t="str">
        <f>IF(H43="","",DATEDIF(H43,DATE(2027,4,8),"Y"))</f>
        <v/>
      </c>
      <c r="L43" s="3" t="str">
        <f>IF(H43="","",DATEDIF(H43,DATE(2027,4,8),"YM"))</f>
        <v/>
      </c>
      <c r="M43" t="str">
        <v>M</v>
      </c>
    </row>
    <row r="44" ht="15.75" customHeight="1">
      <c r="B44">
        <v>29</v>
      </c>
      <c r="C44" t="str">
        <f>IF('INPUT DATA'!L39="","",'INPUT DATA'!L39)</f>
        <v/>
      </c>
      <c r="F44" t="str">
        <f>IF('INPUT DATA'!M39="","",'INPUT DATA'!M39)</f>
        <v/>
      </c>
      <c r="H44" s="2" t="str">
        <f>IF('INPUT DATA'!N39="","",'INPUT DATA'!N39)</f>
        <v/>
      </c>
      <c r="I44" s="3" t="str">
        <f>IF(H44="","",DATEDIF(H44,DATE(2026,6,8),"Y"))</f>
        <v/>
      </c>
      <c r="J44" s="3" t="str">
        <f>IF(H44="","",DATEDIF(H44,DATE(2026,6,8),"YM"))</f>
        <v/>
      </c>
      <c r="K44" s="3" t="str">
        <f>IF(H44="","",DATEDIF(H44,DATE(2027,4,8),"Y"))</f>
        <v/>
      </c>
      <c r="L44" s="3" t="str">
        <f>IF(H44="","",DATEDIF(H44,DATE(2027,4,8),"YM"))</f>
        <v/>
      </c>
      <c r="M44" t="str">
        <v>M</v>
      </c>
    </row>
    <row r="45" ht="15.75" customHeight="1">
      <c r="B45">
        <v>31</v>
      </c>
      <c r="C45" t="str">
        <f>IF('INPUT DATA'!L40="","",'INPUT DATA'!L40)</f>
        <v/>
      </c>
      <c r="F45" t="str">
        <f>IF('INPUT DATA'!M40="","",'INPUT DATA'!M40)</f>
        <v/>
      </c>
      <c r="H45" s="2" t="str">
        <f>IF('INPUT DATA'!N40="","",'INPUT DATA'!N40)</f>
        <v/>
      </c>
      <c r="I45" s="3" t="str">
        <f>IF(H45="","",DATEDIF(H45,DATE(2026,6,8),"Y"))</f>
        <v/>
      </c>
      <c r="J45" s="3" t="str">
        <f>IF(H45="","",DATEDIF(H45,DATE(2026,6,8),"YM"))</f>
        <v/>
      </c>
      <c r="K45" s="3" t="str">
        <f>IF(H45="","",DATEDIF(H45,DATE(2027,4,8),"Y"))</f>
        <v/>
      </c>
      <c r="L45" s="3" t="str">
        <f>IF(H45="","",DATEDIF(H45,DATE(2027,4,8),"YM"))</f>
        <v/>
      </c>
      <c r="M45" t="str">
        <v>M</v>
      </c>
    </row>
    <row r="46" ht="15.75" customHeight="1">
      <c r="B46">
        <v>32</v>
      </c>
      <c r="C46" t="str">
        <f>IF('INPUT DATA'!L41="","",'INPUT DATA'!L41)</f>
        <v/>
      </c>
      <c r="F46" t="str">
        <f>IF('INPUT DATA'!M41="","",'INPUT DATA'!M41)</f>
        <v/>
      </c>
      <c r="H46" s="2" t="str">
        <f>IF('INPUT DATA'!N41="","",'INPUT DATA'!N41)</f>
        <v/>
      </c>
      <c r="I46" s="3" t="str">
        <f>IF(H46="","",DATEDIF(H46,DATE(2026,6,8),"Y"))</f>
        <v/>
      </c>
      <c r="J46" s="3" t="str">
        <f>IF(H46="","",DATEDIF(H46,DATE(2026,6,8),"YM"))</f>
        <v/>
      </c>
      <c r="K46" s="3" t="str">
        <f>IF(H46="","",DATEDIF(H46,DATE(2027,4,8),"Y"))</f>
        <v/>
      </c>
      <c r="L46" s="3" t="str">
        <f>IF(H46="","",DATEDIF(H46,DATE(2027,4,8),"YM"))</f>
        <v/>
      </c>
      <c r="M46" t="str">
        <v>M</v>
      </c>
    </row>
    <row r="47" ht="15.75" customHeight="1">
      <c r="B47">
        <v>33</v>
      </c>
      <c r="C47" t="str">
        <f>IF('INPUT DATA'!L42="","",'INPUT DATA'!L42)</f>
        <v/>
      </c>
      <c r="F47" t="str">
        <f>IF('INPUT DATA'!M42="","",'INPUT DATA'!M42)</f>
        <v/>
      </c>
      <c r="H47" s="2" t="str">
        <f>IF('INPUT DATA'!N42="","",'INPUT DATA'!N42)</f>
        <v/>
      </c>
      <c r="I47" s="3" t="str">
        <f>IF(H47="","",DATEDIF(H47,DATE(2026,6,8),"Y"))</f>
        <v/>
      </c>
      <c r="J47" s="3" t="str">
        <f>IF(H47="","",DATEDIF(H47,DATE(2026,6,8),"YM"))</f>
        <v/>
      </c>
      <c r="K47" s="3" t="str">
        <f>IF(H47="","",DATEDIF(H47,DATE(2027,4,8),"Y"))</f>
        <v/>
      </c>
      <c r="L47" s="3" t="str">
        <f>IF(H47="","",DATEDIF(H47,DATE(2027,4,8),"YM"))</f>
        <v/>
      </c>
      <c r="M47" t="str">
        <v>M</v>
      </c>
    </row>
    <row r="48" ht="15.75" customHeight="1">
      <c r="B48">
        <v>34</v>
      </c>
      <c r="C48" t="str">
        <f>IF('INPUT DATA'!L43="","",'INPUT DATA'!L43)</f>
        <v/>
      </c>
      <c r="F48" t="str">
        <f>IF('INPUT DATA'!M43="","",'INPUT DATA'!M43)</f>
        <v/>
      </c>
      <c r="H48" s="2" t="str">
        <f>IF('INPUT DATA'!N43="","",'INPUT DATA'!N43)</f>
        <v/>
      </c>
      <c r="I48" s="3" t="str">
        <f>IF(H48="","",DATEDIF(H48,DATE(2026,6,8),"Y"))</f>
        <v/>
      </c>
      <c r="J48" s="3" t="str">
        <f>IF(H48="","",DATEDIF(H48,DATE(2026,6,8),"YM"))</f>
        <v/>
      </c>
      <c r="K48" s="3" t="str">
        <f>IF(H48="","",DATEDIF(H48,DATE(2027,4,8),"Y"))</f>
        <v/>
      </c>
      <c r="L48" s="3" t="str">
        <f>IF(H48="","",DATEDIF(H48,DATE(2027,4,8),"YM"))</f>
        <v/>
      </c>
      <c r="M48" t="str">
        <v>M</v>
      </c>
    </row>
    <row r="49" ht="15.75" customHeight="1">
      <c r="B49">
        <v>35</v>
      </c>
      <c r="C49" t="str">
        <f>IF('INPUT DATA'!L44="","",'INPUT DATA'!L44)</f>
        <v/>
      </c>
      <c r="F49" t="str">
        <f>IF('INPUT DATA'!M44="","",'INPUT DATA'!M44)</f>
        <v/>
      </c>
      <c r="H49" s="2" t="str">
        <f>IF('INPUT DATA'!N44="","",'INPUT DATA'!N44)</f>
        <v/>
      </c>
      <c r="I49" s="3" t="str">
        <f>IF(H49="","",DATEDIF(H49,DATE(2026,6,8),"Y"))</f>
        <v/>
      </c>
      <c r="J49" s="3" t="str">
        <f>IF(H49="","",DATEDIF(H49,DATE(2026,6,8),"YM"))</f>
        <v/>
      </c>
      <c r="K49" s="3" t="str">
        <f>IF(H49="","",DATEDIF(H49,DATE(2027,4,8),"Y"))</f>
        <v/>
      </c>
      <c r="L49" s="3" t="str">
        <f>IF(H49="","",DATEDIF(H49,DATE(2027,4,8),"YM"))</f>
        <v/>
      </c>
      <c r="M49" t="str">
        <v>M</v>
      </c>
    </row>
    <row r="50" ht="15.75" customHeight="1">
      <c r="B50">
        <v>36</v>
      </c>
      <c r="C50" t="str">
        <f>IF('INPUT DATA'!L45="","",'INPUT DATA'!L45)</f>
        <v/>
      </c>
      <c r="F50" t="str">
        <f>IF('INPUT DATA'!M45="","",'INPUT DATA'!M45)</f>
        <v/>
      </c>
      <c r="H50" s="2" t="str">
        <f>IF('INPUT DATA'!N45="","",'INPUT DATA'!N45)</f>
        <v/>
      </c>
      <c r="I50" s="3" t="str">
        <f>IF(H50="","",DATEDIF(H50,DATE(2026,6,8),"Y"))</f>
        <v/>
      </c>
      <c r="J50" s="3" t="str">
        <f>IF(H50="","",DATEDIF(H50,DATE(2026,6,8),"YM"))</f>
        <v/>
      </c>
      <c r="K50" s="3" t="str">
        <f>IF(H50="","",DATEDIF(H50,DATE(2027,4,8),"Y"))</f>
        <v/>
      </c>
      <c r="L50" s="3" t="str">
        <f>IF(H50="","",DATEDIF(H50,DATE(2027,4,8),"YM"))</f>
        <v/>
      </c>
      <c r="M50" t="str">
        <v>M</v>
      </c>
    </row>
    <row r="51" ht="15.75" customHeight="1">
      <c r="B51">
        <v>37</v>
      </c>
      <c r="C51" t="str">
        <f>IF('INPUT DATA'!L46="","",'INPUT DATA'!L46)</f>
        <v/>
      </c>
      <c r="F51" t="str">
        <f>IF('INPUT DATA'!M46="","",'INPUT DATA'!M46)</f>
        <v/>
      </c>
      <c r="H51" s="2" t="str">
        <f>IF('INPUT DATA'!N46="","",'INPUT DATA'!N46)</f>
        <v/>
      </c>
      <c r="I51" s="3" t="str">
        <f>IF(H51="","",DATEDIF(H51,DATE(2026,6,8),"Y"))</f>
        <v/>
      </c>
      <c r="J51" s="3" t="str">
        <f>IF(H51="","",DATEDIF(H51,DATE(2026,6,8),"YM"))</f>
        <v/>
      </c>
      <c r="K51" s="3" t="str">
        <f>IF(H51="","",DATEDIF(H51,DATE(2027,4,8),"Y"))</f>
        <v/>
      </c>
      <c r="L51" s="3" t="str">
        <f>IF(H51="","",DATEDIF(H51,DATE(2027,4,8),"YM"))</f>
        <v/>
      </c>
      <c r="M51" t="str">
        <v>M</v>
      </c>
    </row>
    <row r="52" ht="15.75" customHeight="1">
      <c r="B52">
        <v>38</v>
      </c>
      <c r="C52" t="str">
        <f>IF('INPUT DATA'!L47="","",'INPUT DATA'!L47)</f>
        <v/>
      </c>
      <c r="F52" t="str">
        <f>IF('INPUT DATA'!M47="","",'INPUT DATA'!M47)</f>
        <v/>
      </c>
      <c r="H52" s="2" t="str">
        <f>IF('INPUT DATA'!N47="","",'INPUT DATA'!N47)</f>
        <v/>
      </c>
      <c r="I52" s="3" t="str">
        <f>IF(H52="","",DATEDIF(H52,DATE(2026,6,8),"Y"))</f>
        <v/>
      </c>
      <c r="J52" s="3" t="str">
        <f>IF(H52="","",DATEDIF(H52,DATE(2026,6,8),"YM"))</f>
        <v/>
      </c>
      <c r="K52" s="3" t="str">
        <f>IF(H52="","",DATEDIF(H52,DATE(2027,4,8),"Y"))</f>
        <v/>
      </c>
      <c r="L52" s="3" t="str">
        <f>IF(H52="","",DATEDIF(H52,DATE(2027,4,8),"YM"))</f>
        <v/>
      </c>
      <c r="M52" t="str">
        <v>M</v>
      </c>
    </row>
    <row r="53" ht="15.75" customHeight="1">
      <c r="B53">
        <v>39</v>
      </c>
      <c r="C53" t="str">
        <f>IF('INPUT DATA'!L48="","",'INPUT DATA'!L48)</f>
        <v/>
      </c>
      <c r="F53" t="str">
        <f>IF('INPUT DATA'!M48="","",'INPUT DATA'!M48)</f>
        <v/>
      </c>
      <c r="H53" s="2" t="str">
        <f>IF('INPUT DATA'!N48="","",'INPUT DATA'!N48)</f>
        <v/>
      </c>
      <c r="I53" s="3" t="str">
        <f>IF(H53="","",DATEDIF(H53,DATE(2026,6,8),"Y"))</f>
        <v/>
      </c>
      <c r="J53" s="3" t="str">
        <f>IF(H53="","",DATEDIF(H53,DATE(2026,6,8),"YM"))</f>
        <v/>
      </c>
      <c r="K53" s="3" t="str">
        <f>IF(H53="","",DATEDIF(H53,DATE(2027,4,8),"Y"))</f>
        <v/>
      </c>
      <c r="L53" s="3" t="str">
        <f>IF(H53="","",DATEDIF(H53,DATE(2027,4,8),"YM"))</f>
        <v/>
      </c>
      <c r="M53" t="str">
        <v>M</v>
      </c>
    </row>
    <row r="54" ht="15.75" customHeight="1">
      <c r="B54">
        <v>40</v>
      </c>
      <c r="C54" t="str">
        <f>IF('INPUT DATA'!L49="","",'INPUT DATA'!L49)</f>
        <v/>
      </c>
      <c r="F54" t="str">
        <f>IF('INPUT DATA'!M49="","",'INPUT DATA'!M49)</f>
        <v/>
      </c>
      <c r="H54" s="2" t="str">
        <f>IF('INPUT DATA'!N49="","",'INPUT DATA'!N49)</f>
        <v/>
      </c>
      <c r="I54" s="3" t="str">
        <f>IF(H54="","",DATEDIF(H54,DATE(2026,6,8),"Y"))</f>
        <v/>
      </c>
      <c r="J54" s="3" t="str">
        <f>IF(H54="","",DATEDIF(H54,DATE(2026,6,8),"YM"))</f>
        <v/>
      </c>
      <c r="K54" s="3" t="str">
        <f>IF(H54="","",DATEDIF(H54,DATE(2027,4,8),"Y"))</f>
        <v/>
      </c>
      <c r="L54" s="3" t="str">
        <f>IF(H54="","",DATEDIF(H54,DATE(2027,4,8),"YM"))</f>
        <v/>
      </c>
      <c r="M54" t="str">
        <v>M</v>
      </c>
    </row>
    <row r="55" ht="15.75" customHeight="1">
      <c r="B55">
        <v>41</v>
      </c>
      <c r="C55" t="str">
        <f>IF('INPUT DATA'!L50="","",'INPUT DATA'!L50)</f>
        <v/>
      </c>
      <c r="F55" t="str">
        <f>IF('INPUT DATA'!M50="","",'INPUT DATA'!M50)</f>
        <v/>
      </c>
      <c r="H55" s="2" t="str">
        <f>IF('INPUT DATA'!N50="","",'INPUT DATA'!N50)</f>
        <v/>
      </c>
      <c r="I55" s="3" t="str">
        <f>IF(H55="","",DATEDIF(H55,DATE(2026,6,8),"Y"))</f>
        <v/>
      </c>
      <c r="J55" s="3" t="str">
        <f>IF(H55="","",DATEDIF(H55,DATE(2026,6,8),"YM"))</f>
        <v/>
      </c>
      <c r="K55" s="3" t="str">
        <f>IF(H55="","",DATEDIF(H55,DATE(2027,4,8),"Y"))</f>
        <v/>
      </c>
      <c r="L55" s="3" t="str">
        <f>IF(H55="","",DATEDIF(H55,DATE(2027,4,8),"YM"))</f>
        <v/>
      </c>
      <c r="M55" t="str">
        <v>M</v>
      </c>
    </row>
    <row r="56" ht="15.75" customHeight="1">
      <c r="B56">
        <v>42</v>
      </c>
      <c r="C56" t="str">
        <f>IF('INPUT DATA'!L51="","",'INPUT DATA'!L51)</f>
        <v/>
      </c>
      <c r="F56" t="str">
        <f>IF('INPUT DATA'!M51="","",'INPUT DATA'!M51)</f>
        <v/>
      </c>
      <c r="H56" s="2" t="str">
        <f>IF('INPUT DATA'!N51="","",'INPUT DATA'!N51)</f>
        <v/>
      </c>
      <c r="I56" s="3" t="str">
        <f>IF(H56="","",DATEDIF(H56,DATE(2026,6,8),"Y"))</f>
        <v/>
      </c>
      <c r="J56" s="3" t="str">
        <f>IF(H56="","",DATEDIF(H56,DATE(2026,6,8),"YM"))</f>
        <v/>
      </c>
      <c r="K56" s="3" t="str">
        <f>IF(H56="","",DATEDIF(H56,DATE(2027,4,8),"Y"))</f>
        <v/>
      </c>
      <c r="L56" s="3" t="str">
        <f>IF(H56="","",DATEDIF(H56,DATE(2027,4,8),"YM"))</f>
        <v/>
      </c>
      <c r="M56" t="str">
        <v>M</v>
      </c>
    </row>
    <row r="57" ht="15.75" customHeight="1">
      <c r="B57">
        <v>43</v>
      </c>
      <c r="C57" t="str">
        <f>IF('INPUT DATA'!L52="","",'INPUT DATA'!L52)</f>
        <v/>
      </c>
      <c r="F57" t="str">
        <f>IF('INPUT DATA'!M52="","",'INPUT DATA'!M52)</f>
        <v/>
      </c>
      <c r="H57" s="2" t="str">
        <f>IF('INPUT DATA'!N52="","",'INPUT DATA'!N52)</f>
        <v/>
      </c>
      <c r="I57" s="3" t="str">
        <f>IF(H57="","",DATEDIF(H57,DATE(2026,6,8),"Y"))</f>
        <v/>
      </c>
      <c r="J57" s="3" t="str">
        <f>IF(H57="","",DATEDIF(H57,DATE(2026,6,8),"YM"))</f>
        <v/>
      </c>
      <c r="K57" s="3" t="str">
        <f>IF(H57="","",DATEDIF(H57,DATE(2027,4,8),"Y"))</f>
        <v/>
      </c>
      <c r="L57" s="3" t="str">
        <f>IF(H57="","",DATEDIF(H57,DATE(2027,4,8),"YM"))</f>
        <v/>
      </c>
      <c r="M57" t="str">
        <v>M</v>
      </c>
    </row>
    <row r="58" ht="15.75" customHeight="1">
      <c r="B58">
        <v>44</v>
      </c>
      <c r="C58" t="str">
        <f>IF('INPUT DATA'!L53="","",'INPUT DATA'!L53)</f>
        <v/>
      </c>
      <c r="F58" t="str">
        <f>IF('INPUT DATA'!M53="","",'INPUT DATA'!M53)</f>
        <v/>
      </c>
      <c r="H58" s="2" t="str">
        <f>IF('INPUT DATA'!N53="","",'INPUT DATA'!N53)</f>
        <v/>
      </c>
      <c r="I58" s="3" t="str">
        <f>IF(H58="","",DATEDIF(H58,DATE(2026,6,8),"Y"))</f>
        <v/>
      </c>
      <c r="J58" s="3" t="str">
        <f>IF(H58="","",DATEDIF(H58,DATE(2026,6,8),"YM"))</f>
        <v/>
      </c>
      <c r="K58" s="3" t="str">
        <f>IF(H58="","",DATEDIF(H58,DATE(2027,4,8),"Y"))</f>
        <v/>
      </c>
      <c r="L58" s="3" t="str">
        <f>IF(H58="","",DATEDIF(H58,DATE(2027,4,8),"YM"))</f>
        <v/>
      </c>
      <c r="M58" t="str">
        <v>M</v>
      </c>
    </row>
    <row r="59" ht="15.75" customHeight="1">
      <c r="B59">
        <v>45</v>
      </c>
      <c r="C59" t="str">
        <f>IF('INPUT DATA'!L54="","",'INPUT DATA'!L54)</f>
        <v/>
      </c>
      <c r="F59" t="str">
        <f>IF('INPUT DATA'!M54="","",'INPUT DATA'!M54)</f>
        <v/>
      </c>
      <c r="H59" s="2" t="str">
        <f>IF('INPUT DATA'!N54="","",'INPUT DATA'!N54)</f>
        <v/>
      </c>
      <c r="I59" s="3" t="str">
        <f>IF(H59="","",DATEDIF(H59,DATE(2026,6,8),"Y"))</f>
        <v/>
      </c>
      <c r="J59" s="3" t="str">
        <f>IF(H59="","",DATEDIF(H59,DATE(2026,6,8),"YM"))</f>
        <v/>
      </c>
      <c r="K59" s="3" t="str">
        <f>IF(H59="","",DATEDIF(H59,DATE(2027,4,8),"Y"))</f>
        <v/>
      </c>
      <c r="L59" s="3" t="str">
        <f>IF(H59="","",DATEDIF(H59,DATE(2027,4,8),"YM"))</f>
        <v/>
      </c>
      <c r="M59" t="str">
        <v>M</v>
      </c>
    </row>
    <row r="60" ht="15.75" customHeight="1">
      <c r="B60">
        <v>46</v>
      </c>
      <c r="C60" t="str">
        <f>IF('INPUT DATA'!L55="","",'INPUT DATA'!L55)</f>
        <v/>
      </c>
      <c r="F60" t="str">
        <f>IF('INPUT DATA'!M55="","",'INPUT DATA'!M55)</f>
        <v/>
      </c>
      <c r="H60" s="2" t="str">
        <f>IF('INPUT DATA'!N55="","",'INPUT DATA'!N55)</f>
        <v/>
      </c>
      <c r="I60" s="3" t="str">
        <f>IF(H60="","",DATEDIF(H60,DATE(2026,6,8),"Y"))</f>
        <v/>
      </c>
      <c r="J60" s="3" t="str">
        <f>IF(H60="","",DATEDIF(H60,DATE(2026,6,8),"YM"))</f>
        <v/>
      </c>
      <c r="K60" s="3" t="str">
        <f>IF(H60="","",DATEDIF(H60,DATE(2027,4,8),"Y"))</f>
        <v/>
      </c>
      <c r="L60" s="3" t="str">
        <f>IF(H60="","",DATEDIF(H60,DATE(2027,4,8),"YM"))</f>
        <v/>
      </c>
      <c r="M60" t="str">
        <v>M</v>
      </c>
    </row>
    <row r="61" ht="15.75" customHeight="1">
      <c r="B61">
        <v>47</v>
      </c>
      <c r="C61" t="str">
        <f>IF('INPUT DATA'!L56="","",'INPUT DATA'!L56)</f>
        <v/>
      </c>
      <c r="F61" t="str">
        <f>IF('INPUT DATA'!M56="","",'INPUT DATA'!M56)</f>
        <v/>
      </c>
      <c r="H61" s="2" t="str">
        <f>IF('INPUT DATA'!N56="","",'INPUT DATA'!N56)</f>
        <v/>
      </c>
      <c r="I61" s="3" t="str">
        <f>IF(H61="","",DATEDIF(H61,DATE(2026,6,8),"Y"))</f>
        <v/>
      </c>
      <c r="J61" s="3" t="str">
        <f>IF(H61="","",DATEDIF(H61,DATE(2026,6,8),"YM"))</f>
        <v/>
      </c>
      <c r="K61" s="3" t="str">
        <f>IF(H61="","",DATEDIF(H61,DATE(2027,4,8),"Y"))</f>
        <v/>
      </c>
      <c r="L61" s="3" t="str">
        <f>IF(H61="","",DATEDIF(H61,DATE(2027,4,8),"YM"))</f>
        <v/>
      </c>
      <c r="M61" t="str">
        <v>M</v>
      </c>
    </row>
    <row r="62" ht="15.75" customHeight="1">
      <c r="B62">
        <v>48</v>
      </c>
      <c r="C62" t="str">
        <f>IF('INPUT DATA'!L57="","",'INPUT DATA'!L57)</f>
        <v/>
      </c>
      <c r="F62" t="str">
        <f>IF('INPUT DATA'!M57="","",'INPUT DATA'!M57)</f>
        <v/>
      </c>
      <c r="H62" s="2" t="str">
        <f>IF('INPUT DATA'!N57="","",'INPUT DATA'!N57)</f>
        <v/>
      </c>
      <c r="I62" s="3" t="str">
        <f>IF(H62="","",DATEDIF(H62,DATE(2026,6,8),"Y"))</f>
        <v/>
      </c>
      <c r="J62" s="3" t="str">
        <f>IF(H62="","",DATEDIF(H62,DATE(2026,6,8),"YM"))</f>
        <v/>
      </c>
      <c r="K62" s="3" t="str">
        <f>IF(H62="","",DATEDIF(H62,DATE(2027,4,8),"Y"))</f>
        <v/>
      </c>
      <c r="L62" s="3" t="str">
        <f>IF(H62="","",DATEDIF(H62,DATE(2027,4,8),"YM"))</f>
        <v/>
      </c>
      <c r="M62" t="str">
        <v>M</v>
      </c>
    </row>
    <row r="63" ht="15.75" customHeight="1">
      <c r="B63">
        <v>49</v>
      </c>
      <c r="C63" t="str">
        <f>IF('INPUT DATA'!L58="","",'INPUT DATA'!L58)</f>
        <v/>
      </c>
      <c r="F63" t="str">
        <f>IF('INPUT DATA'!M58="","",'INPUT DATA'!M58)</f>
        <v/>
      </c>
      <c r="H63" s="2" t="str">
        <f>IF('INPUT DATA'!N58="","",'INPUT DATA'!N58)</f>
        <v/>
      </c>
      <c r="I63" s="3" t="str">
        <f>IF(H63="","",DATEDIF(H63,DATE(2026,6,8),"Y"))</f>
        <v/>
      </c>
      <c r="J63" s="3" t="str">
        <f>IF(H63="","",DATEDIF(H63,DATE(2026,6,8),"YM"))</f>
        <v/>
      </c>
      <c r="K63" s="3" t="str">
        <f>IF(H63="","",DATEDIF(H63,DATE(2027,4,8),"Y"))</f>
        <v/>
      </c>
      <c r="L63" s="3" t="str">
        <f>IF(H63="","",DATEDIF(H63,DATE(2027,4,8),"YM"))</f>
        <v/>
      </c>
      <c r="M63" t="str">
        <v>M</v>
      </c>
    </row>
    <row r="64" ht="15.75" customHeight="1">
      <c r="B64">
        <v>50</v>
      </c>
      <c r="C64" t="str">
        <f>IF('INPUT DATA'!L59="","",'INPUT DATA'!L59)</f>
        <v/>
      </c>
      <c r="F64" t="str">
        <f>IF('INPUT DATA'!M59="","",'INPUT DATA'!M59)</f>
        <v/>
      </c>
      <c r="H64" s="2" t="str">
        <f>IF('INPUT DATA'!N59="","",'INPUT DATA'!N59)</f>
        <v/>
      </c>
      <c r="I64" s="3" t="str">
        <f>IF(H64="","",DATEDIF(H64,DATE(2026,6,8),"Y"))</f>
        <v/>
      </c>
      <c r="J64" s="3" t="str">
        <f>IF(H64="","",DATEDIF(H64,DATE(2026,6,8),"YM"))</f>
        <v/>
      </c>
      <c r="K64" s="3" t="str">
        <f>IF(H64="","",DATEDIF(H64,DATE(2027,4,8),"Y"))</f>
        <v/>
      </c>
      <c r="L64" s="3" t="str">
        <f>IF(H64="","",DATEDIF(H64,DATE(2027,4,8),"YM"))</f>
        <v/>
      </c>
      <c r="M64" t="str">
        <v>M</v>
      </c>
    </row>
    <row r="65" ht="15.75" customHeight="1">
      <c r="B65" t="str">
        <v>FEMALE</v>
      </c>
    </row>
    <row r="66" ht="15.75" customHeight="1">
      <c r="B66">
        <v>1</v>
      </c>
      <c r="C66" t="str">
        <f>IF('INPUT DATA'!Q11="","",'INPUT DATA'!Q11)</f>
        <v/>
      </c>
      <c r="F66" t="str">
        <f>IF('INPUT DATA'!R11="","",'INPUT DATA'!R11)</f>
        <v/>
      </c>
      <c r="H66" s="2" t="str">
        <f>IF('INPUT DATA'!S11="","",'INPUT DATA'!S11)</f>
        <v/>
      </c>
      <c r="I66" s="3" t="str">
        <f>IF(H66="","",DATEDIF(H66,DATE(2026,6,8),"Y"))</f>
        <v/>
      </c>
      <c r="J66" s="3" t="str">
        <f>IF(H66="","",DATEDIF(H66,DATE(2026,6,8),"YM"))</f>
        <v/>
      </c>
      <c r="K66" s="3" t="str">
        <f>IF(H66="","",DATEDIF(H66,DATE(2027,4,8),"Y"))</f>
        <v/>
      </c>
      <c r="L66" s="3" t="str">
        <f>IF(H66="","",DATEDIF(H66,DATE(2027,4,8),"YM"))</f>
        <v/>
      </c>
      <c r="M66" t="str">
        <v>F</v>
      </c>
    </row>
    <row r="67" ht="15.75" customHeight="1">
      <c r="B67">
        <v>2</v>
      </c>
      <c r="C67" t="str">
        <f>IF('INPUT DATA'!Q12="","",'INPUT DATA'!Q12)</f>
        <v/>
      </c>
      <c r="F67" t="str">
        <f>IF('INPUT DATA'!R12="","",'INPUT DATA'!R12)</f>
        <v/>
      </c>
      <c r="H67" s="2" t="str">
        <f>IF('INPUT DATA'!S12="","",'INPUT DATA'!S12)</f>
        <v/>
      </c>
      <c r="I67" s="3" t="str">
        <f>IF(H67="","",DATEDIF(H67,DATE(2026,6,8),"Y"))</f>
        <v/>
      </c>
      <c r="J67" s="3" t="str">
        <f>IF(H67="","",DATEDIF(H67,DATE(2026,6,8),"YM"))</f>
        <v/>
      </c>
      <c r="K67" s="3" t="str">
        <f>IF(H67="","",DATEDIF(H67,DATE(2027,4,8),"Y"))</f>
        <v/>
      </c>
      <c r="L67" s="3" t="str">
        <f>IF(H67="","",DATEDIF(H67,DATE(2027,4,8),"YM"))</f>
        <v/>
      </c>
      <c r="M67" t="str">
        <v>F</v>
      </c>
    </row>
    <row r="68" ht="15.75" customHeight="1">
      <c r="B68">
        <v>3</v>
      </c>
      <c r="C68" t="str">
        <f>IF('INPUT DATA'!Q13="","",'INPUT DATA'!Q13)</f>
        <v/>
      </c>
      <c r="F68" t="str">
        <f>IF('INPUT DATA'!R13="","",'INPUT DATA'!R13)</f>
        <v/>
      </c>
      <c r="H68" s="2" t="str">
        <f>IF('INPUT DATA'!S13="","",'INPUT DATA'!S13)</f>
        <v/>
      </c>
      <c r="I68" s="3" t="str">
        <f>IF(H68="","",DATEDIF(H68,DATE(2026,6,8),"Y"))</f>
        <v/>
      </c>
      <c r="J68" s="3" t="str">
        <f>IF(H68="","",DATEDIF(H68,DATE(2026,6,8),"YM"))</f>
        <v/>
      </c>
      <c r="K68" s="3" t="str">
        <f>IF(H68="","",DATEDIF(H68,DATE(2027,4,8),"Y"))</f>
        <v/>
      </c>
      <c r="L68" s="3" t="str">
        <f>IF(H68="","",DATEDIF(H68,DATE(2027,4,8),"YM"))</f>
        <v/>
      </c>
      <c r="M68" t="str">
        <v>F</v>
      </c>
    </row>
    <row r="69" ht="15.75" customHeight="1">
      <c r="B69">
        <v>4</v>
      </c>
      <c r="C69" t="str">
        <f>IF('INPUT DATA'!Q14="","",'INPUT DATA'!Q14)</f>
        <v/>
      </c>
      <c r="F69" t="str">
        <f>IF('INPUT DATA'!R14="","",'INPUT DATA'!R14)</f>
        <v/>
      </c>
      <c r="H69" s="2" t="str">
        <f>IF('INPUT DATA'!S14="","",'INPUT DATA'!S14)</f>
        <v/>
      </c>
      <c r="I69" s="3" t="str">
        <f>IF(H69="","",DATEDIF(H69,DATE(2026,6,8),"Y"))</f>
        <v/>
      </c>
      <c r="J69" s="3" t="str">
        <f>IF(H69="","",DATEDIF(H69,DATE(2026,6,8),"YM"))</f>
        <v/>
      </c>
      <c r="K69" s="3" t="str">
        <f>IF(H69="","",DATEDIF(H69,DATE(2027,4,8),"Y"))</f>
        <v/>
      </c>
      <c r="L69" s="3" t="str">
        <f>IF(H69="","",DATEDIF(H69,DATE(2027,4,8),"YM"))</f>
        <v/>
      </c>
      <c r="M69" t="str">
        <v>F</v>
      </c>
    </row>
    <row r="70" ht="15.75" customHeight="1">
      <c r="B70">
        <v>5</v>
      </c>
      <c r="C70" t="str">
        <f>IF('INPUT DATA'!Q15="","",'INPUT DATA'!Q15)</f>
        <v/>
      </c>
      <c r="F70" t="str">
        <f>IF('INPUT DATA'!R15="","",'INPUT DATA'!R15)</f>
        <v/>
      </c>
      <c r="H70" s="2" t="str">
        <f>IF('INPUT DATA'!S15="","",'INPUT DATA'!S15)</f>
        <v/>
      </c>
      <c r="I70" s="3" t="str">
        <f>IF(H70="","",DATEDIF(H70,DATE(2026,6,8),"Y"))</f>
        <v/>
      </c>
      <c r="J70" s="3" t="str">
        <f>IF(H70="","",DATEDIF(H70,DATE(2026,6,8),"YM"))</f>
        <v/>
      </c>
      <c r="K70" s="3" t="str">
        <f>IF(H70="","",DATEDIF(H70,DATE(2027,4,8),"Y"))</f>
        <v/>
      </c>
      <c r="L70" s="3" t="str">
        <f>IF(H70="","",DATEDIF(H70,DATE(2027,4,8),"YM"))</f>
        <v/>
      </c>
      <c r="M70" t="str">
        <v>F</v>
      </c>
    </row>
    <row r="71" ht="15.75" customHeight="1">
      <c r="B71">
        <v>6</v>
      </c>
      <c r="C71" t="str">
        <f>IF('INPUT DATA'!Q16="","",'INPUT DATA'!Q16)</f>
        <v/>
      </c>
      <c r="F71" t="str">
        <f>IF('INPUT DATA'!R16="","",'INPUT DATA'!R16)</f>
        <v/>
      </c>
      <c r="H71" s="2" t="str">
        <f>IF('INPUT DATA'!S16="","",'INPUT DATA'!S16)</f>
        <v/>
      </c>
      <c r="I71" s="3" t="str">
        <f>IF(H71="","",DATEDIF(H71,DATE(2026,6,8),"Y"))</f>
        <v/>
      </c>
      <c r="J71" s="3" t="str">
        <f>IF(H71="","",DATEDIF(H71,DATE(2026,6,8),"YM"))</f>
        <v/>
      </c>
      <c r="K71" s="3" t="str">
        <f>IF(H71="","",DATEDIF(H71,DATE(2027,4,8),"Y"))</f>
        <v/>
      </c>
      <c r="L71" s="3" t="str">
        <f>IF(H71="","",DATEDIF(H71,DATE(2027,4,8),"YM"))</f>
        <v/>
      </c>
      <c r="M71" t="str">
        <v>F</v>
      </c>
    </row>
    <row r="72" ht="15.75" customHeight="1">
      <c r="B72">
        <v>7</v>
      </c>
      <c r="C72" t="str">
        <f>IF('INPUT DATA'!Q17="","",'INPUT DATA'!Q17)</f>
        <v/>
      </c>
      <c r="F72" t="str">
        <f>IF('INPUT DATA'!R17="","",'INPUT DATA'!R17)</f>
        <v/>
      </c>
      <c r="H72" s="2" t="str">
        <f>IF('INPUT DATA'!S17="","",'INPUT DATA'!S17)</f>
        <v/>
      </c>
      <c r="I72" s="3" t="str">
        <f>IF(H72="","",DATEDIF(H72,DATE(2026,6,8),"Y"))</f>
        <v/>
      </c>
      <c r="J72" s="3" t="str">
        <f>IF(H72="","",DATEDIF(H72,DATE(2026,6,8),"YM"))</f>
        <v/>
      </c>
      <c r="K72" s="3" t="str">
        <f>IF(H72="","",DATEDIF(H72,DATE(2027,4,8),"Y"))</f>
        <v/>
      </c>
      <c r="L72" s="3" t="str">
        <f>IF(H72="","",DATEDIF(H72,DATE(2027,4,8),"YM"))</f>
        <v/>
      </c>
      <c r="M72" t="str">
        <v>F</v>
      </c>
    </row>
    <row r="73" ht="15.75" customHeight="1">
      <c r="B73">
        <v>8</v>
      </c>
      <c r="C73" t="str">
        <f>IF('INPUT DATA'!Q18="","",'INPUT DATA'!Q18)</f>
        <v/>
      </c>
      <c r="F73" t="str">
        <f>IF('INPUT DATA'!R18="","",'INPUT DATA'!R18)</f>
        <v/>
      </c>
      <c r="H73" s="2" t="str">
        <f>IF('INPUT DATA'!S18="","",'INPUT DATA'!S18)</f>
        <v/>
      </c>
      <c r="I73" s="3" t="str">
        <f>IF(H73="","",DATEDIF(H73,DATE(2026,6,8),"Y"))</f>
        <v/>
      </c>
      <c r="J73" s="3" t="str">
        <f>IF(H73="","",DATEDIF(H73,DATE(2026,6,8),"YM"))</f>
        <v/>
      </c>
      <c r="K73" s="3" t="str">
        <f>IF(H73="","",DATEDIF(H73,DATE(2027,4,8),"Y"))</f>
        <v/>
      </c>
      <c r="L73" s="3" t="str">
        <f>IF(H73="","",DATEDIF(H73,DATE(2027,4,8),"YM"))</f>
        <v/>
      </c>
      <c r="M73" t="str">
        <v>F</v>
      </c>
    </row>
    <row r="74" ht="15.75" customHeight="1">
      <c r="B74">
        <v>9</v>
      </c>
      <c r="C74" t="str">
        <f>IF('INPUT DATA'!Q19="","",'INPUT DATA'!Q19)</f>
        <v/>
      </c>
      <c r="F74" t="str">
        <f>IF('INPUT DATA'!R19="","",'INPUT DATA'!R19)</f>
        <v/>
      </c>
      <c r="H74" s="2" t="str">
        <f>IF('INPUT DATA'!S19="","",'INPUT DATA'!S19)</f>
        <v/>
      </c>
      <c r="I74" s="3" t="str">
        <f>IF(H74="","",DATEDIF(H74,DATE(2026,6,8),"Y"))</f>
        <v/>
      </c>
      <c r="J74" s="3" t="str">
        <f>IF(H74="","",DATEDIF(H74,DATE(2026,6,8),"YM"))</f>
        <v/>
      </c>
      <c r="K74" s="3" t="str">
        <f>IF(H74="","",DATEDIF(H74,DATE(2027,4,8),"Y"))</f>
        <v/>
      </c>
      <c r="L74" s="3" t="str">
        <f>IF(H74="","",DATEDIF(H74,DATE(2027,4,8),"YM"))</f>
        <v/>
      </c>
      <c r="M74" t="str">
        <v>F</v>
      </c>
    </row>
    <row r="75" ht="15.75" customHeight="1">
      <c r="B75">
        <v>10</v>
      </c>
      <c r="C75" t="str">
        <f>IF('INPUT DATA'!Q20="","",'INPUT DATA'!Q20)</f>
        <v/>
      </c>
      <c r="F75" t="str">
        <f>IF('INPUT DATA'!R20="","",'INPUT DATA'!R20)</f>
        <v/>
      </c>
      <c r="H75" s="2" t="str">
        <f>IF('INPUT DATA'!S20="","",'INPUT DATA'!S20)</f>
        <v/>
      </c>
      <c r="I75" s="3" t="str">
        <f>IF(H75="","",DATEDIF(H75,DATE(2026,6,8),"Y"))</f>
        <v/>
      </c>
      <c r="J75" s="3" t="str">
        <f>IF(H75="","",DATEDIF(H75,DATE(2026,6,8),"YM"))</f>
        <v/>
      </c>
      <c r="K75" s="3" t="str">
        <f>IF(H75="","",DATEDIF(H75,DATE(2027,4,8),"Y"))</f>
        <v/>
      </c>
      <c r="L75" s="3" t="str">
        <f>IF(H75="","",DATEDIF(H75,DATE(2027,4,8),"YM"))</f>
        <v/>
      </c>
      <c r="M75" t="str">
        <v>F</v>
      </c>
    </row>
    <row r="76" ht="15.75" customHeight="1">
      <c r="B76">
        <v>11</v>
      </c>
      <c r="C76" t="str">
        <f>IF('INPUT DATA'!Q21="","",'INPUT DATA'!Q21)</f>
        <v/>
      </c>
      <c r="F76" t="str">
        <f>IF('INPUT DATA'!R21="","",'INPUT DATA'!R21)</f>
        <v/>
      </c>
      <c r="H76" s="2" t="str">
        <f>IF('INPUT DATA'!S21="","",'INPUT DATA'!S21)</f>
        <v/>
      </c>
      <c r="I76" s="3" t="str">
        <f>IF(H76="","",DATEDIF(H76,DATE(2026,6,8),"Y"))</f>
        <v/>
      </c>
      <c r="J76" s="3" t="str">
        <f>IF(H76="","",DATEDIF(H76,DATE(2026,6,8),"YM"))</f>
        <v/>
      </c>
      <c r="K76" s="3" t="str">
        <f>IF(H76="","",DATEDIF(H76,DATE(2027,4,8),"Y"))</f>
        <v/>
      </c>
      <c r="L76" s="3" t="str">
        <f>IF(H76="","",DATEDIF(H76,DATE(2027,4,8),"YM"))</f>
        <v/>
      </c>
      <c r="M76" t="str">
        <v>F</v>
      </c>
    </row>
    <row r="77" ht="15.75" customHeight="1">
      <c r="B77">
        <v>12</v>
      </c>
      <c r="C77" t="str">
        <f>IF('INPUT DATA'!Q22="","",'INPUT DATA'!Q22)</f>
        <v/>
      </c>
      <c r="F77" t="str">
        <f>IF('INPUT DATA'!R22="","",'INPUT DATA'!R22)</f>
        <v/>
      </c>
      <c r="H77" s="2" t="str">
        <f>IF('INPUT DATA'!S22="","",'INPUT DATA'!S22)</f>
        <v/>
      </c>
      <c r="I77" s="3" t="str">
        <f>IF(H77="","",DATEDIF(H77,DATE(2026,6,8),"Y"))</f>
        <v/>
      </c>
      <c r="J77" s="3" t="str">
        <f>IF(H77="","",DATEDIF(H77,DATE(2026,6,8),"YM"))</f>
        <v/>
      </c>
      <c r="K77" s="3" t="str">
        <f>IF(H77="","",DATEDIF(H77,DATE(2027,4,8),"Y"))</f>
        <v/>
      </c>
      <c r="L77" s="3" t="str">
        <f>IF(H77="","",DATEDIF(H77,DATE(2027,4,8),"YM"))</f>
        <v/>
      </c>
      <c r="M77" t="str">
        <v>F</v>
      </c>
    </row>
    <row r="78" ht="15.75" customHeight="1">
      <c r="B78">
        <v>13</v>
      </c>
      <c r="C78" t="str">
        <f>IF('INPUT DATA'!Q23="","",'INPUT DATA'!Q23)</f>
        <v/>
      </c>
      <c r="F78" t="str">
        <f>IF('INPUT DATA'!R23="","",'INPUT DATA'!R23)</f>
        <v/>
      </c>
      <c r="H78" s="2" t="str">
        <f>IF('INPUT DATA'!S23="","",'INPUT DATA'!S23)</f>
        <v/>
      </c>
      <c r="I78" s="3" t="str">
        <f>IF(H78="","",DATEDIF(H78,DATE(2026,6,8),"Y"))</f>
        <v/>
      </c>
      <c r="J78" s="3" t="str">
        <f>IF(H78="","",DATEDIF(H78,DATE(2026,6,8),"YM"))</f>
        <v/>
      </c>
      <c r="K78" s="3" t="str">
        <f>IF(H78="","",DATEDIF(H78,DATE(2027,4,8),"Y"))</f>
        <v/>
      </c>
      <c r="L78" s="3" t="str">
        <f>IF(H78="","",DATEDIF(H78,DATE(2027,4,8),"YM"))</f>
        <v/>
      </c>
      <c r="M78" t="str">
        <v>F</v>
      </c>
    </row>
    <row r="79" ht="15.75" customHeight="1">
      <c r="B79">
        <v>14</v>
      </c>
      <c r="C79" t="str">
        <f>IF('INPUT DATA'!Q24="","",'INPUT DATA'!Q24)</f>
        <v/>
      </c>
      <c r="F79" t="str">
        <f>IF('INPUT DATA'!R24="","",'INPUT DATA'!R24)</f>
        <v/>
      </c>
      <c r="H79" s="2" t="str">
        <f>IF('INPUT DATA'!S24="","",'INPUT DATA'!S24)</f>
        <v/>
      </c>
      <c r="I79" s="3" t="str">
        <f>IF(H79="","",DATEDIF(H79,DATE(2026,6,8),"Y"))</f>
        <v/>
      </c>
      <c r="J79" s="3" t="str">
        <f>IF(H79="","",DATEDIF(H79,DATE(2026,6,8),"YM"))</f>
        <v/>
      </c>
      <c r="K79" s="3" t="str">
        <f>IF(H79="","",DATEDIF(H79,DATE(2027,4,8),"Y"))</f>
        <v/>
      </c>
      <c r="L79" s="3" t="str">
        <f>IF(H79="","",DATEDIF(H79,DATE(2027,4,8),"YM"))</f>
        <v/>
      </c>
      <c r="M79" t="str">
        <v>F</v>
      </c>
    </row>
    <row r="80" ht="15.75" customHeight="1">
      <c r="B80">
        <v>15</v>
      </c>
      <c r="C80" t="str">
        <f>IF('INPUT DATA'!Q25="","",'INPUT DATA'!Q25)</f>
        <v/>
      </c>
      <c r="F80" t="str">
        <f>IF('INPUT DATA'!R25="","",'INPUT DATA'!R25)</f>
        <v/>
      </c>
      <c r="H80" s="2" t="str">
        <f>IF('INPUT DATA'!S25="","",'INPUT DATA'!S25)</f>
        <v/>
      </c>
      <c r="I80" s="3" t="str">
        <f>IF(H80="","",DATEDIF(H80,DATE(2026,6,8),"Y"))</f>
        <v/>
      </c>
      <c r="J80" s="3" t="str">
        <f>IF(H80="","",DATEDIF(H80,DATE(2026,6,8),"YM"))</f>
        <v/>
      </c>
      <c r="K80" s="3" t="str">
        <f>IF(H80="","",DATEDIF(H80,DATE(2027,4,8),"Y"))</f>
        <v/>
      </c>
      <c r="L80" s="3" t="str">
        <f>IF(H80="","",DATEDIF(H80,DATE(2027,4,8),"YM"))</f>
        <v/>
      </c>
      <c r="M80" t="str">
        <v>F</v>
      </c>
    </row>
    <row r="81" ht="15.75" customHeight="1">
      <c r="B81">
        <v>16</v>
      </c>
      <c r="C81" t="str">
        <f>IF('INPUT DATA'!Q26="","",'INPUT DATA'!Q26)</f>
        <v/>
      </c>
      <c r="F81" t="str">
        <f>IF('INPUT DATA'!R26="","",'INPUT DATA'!R26)</f>
        <v/>
      </c>
      <c r="H81" s="2" t="str">
        <f>IF('INPUT DATA'!S26="","",'INPUT DATA'!S26)</f>
        <v/>
      </c>
      <c r="I81" s="3" t="str">
        <f>IF(H81="","",DATEDIF(H81,DATE(2026,6,8),"Y"))</f>
        <v/>
      </c>
      <c r="J81" s="3" t="str">
        <f>IF(H81="","",DATEDIF(H81,DATE(2026,6,8),"YM"))</f>
        <v/>
      </c>
      <c r="K81" s="3" t="str">
        <f>IF(H81="","",DATEDIF(H81,DATE(2027,4,8),"Y"))</f>
        <v/>
      </c>
      <c r="L81" s="3" t="str">
        <f>IF(H81="","",DATEDIF(H81,DATE(2027,4,8),"YM"))</f>
        <v/>
      </c>
      <c r="M81" t="str">
        <v>F</v>
      </c>
    </row>
    <row r="82" ht="15.75" customHeight="1">
      <c r="B82">
        <v>17</v>
      </c>
      <c r="C82" t="str">
        <f>IF('INPUT DATA'!Q27="","",'INPUT DATA'!Q27)</f>
        <v/>
      </c>
      <c r="F82" t="str">
        <f>IF('INPUT DATA'!R27="","",'INPUT DATA'!R27)</f>
        <v/>
      </c>
      <c r="H82" s="2" t="str">
        <f>IF('INPUT DATA'!S27="","",'INPUT DATA'!S27)</f>
        <v/>
      </c>
      <c r="I82" s="3" t="str">
        <f>IF(H82="","",DATEDIF(H82,DATE(2026,6,8),"Y"))</f>
        <v/>
      </c>
      <c r="J82" s="3" t="str">
        <f>IF(H82="","",DATEDIF(H82,DATE(2026,6,8),"YM"))</f>
        <v/>
      </c>
      <c r="K82" s="3" t="str">
        <f>IF(H82="","",DATEDIF(H82,DATE(2027,4,8),"Y"))</f>
        <v/>
      </c>
      <c r="L82" s="3" t="str">
        <f>IF(H82="","",DATEDIF(H82,DATE(2027,4,8),"YM"))</f>
        <v/>
      </c>
      <c r="M82" t="str">
        <v>F</v>
      </c>
    </row>
    <row r="83" ht="15.75" customHeight="1">
      <c r="B83">
        <v>18</v>
      </c>
      <c r="C83" t="str">
        <f>IF('INPUT DATA'!Q28="","",'INPUT DATA'!Q28)</f>
        <v/>
      </c>
      <c r="F83" t="str">
        <f>IF('INPUT DATA'!R28="","",'INPUT DATA'!R28)</f>
        <v/>
      </c>
      <c r="H83" s="2" t="str">
        <f>IF('INPUT DATA'!S28="","",'INPUT DATA'!S28)</f>
        <v/>
      </c>
      <c r="I83" s="3" t="str">
        <f>IF(H83="","",DATEDIF(H83,DATE(2026,6,8),"Y"))</f>
        <v/>
      </c>
      <c r="J83" s="3" t="str">
        <f>IF(H83="","",DATEDIF(H83,DATE(2026,6,8),"YM"))</f>
        <v/>
      </c>
      <c r="K83" s="3" t="str">
        <f>IF(H83="","",DATEDIF(H83,DATE(2027,4,8),"Y"))</f>
        <v/>
      </c>
      <c r="L83" s="3" t="str">
        <f>IF(H83="","",DATEDIF(H83,DATE(2027,4,8),"YM"))</f>
        <v/>
      </c>
      <c r="M83" t="str">
        <v>F</v>
      </c>
    </row>
    <row r="84" ht="15.75" customHeight="1">
      <c r="B84">
        <v>19</v>
      </c>
      <c r="C84" t="str">
        <f>IF('INPUT DATA'!Q29="","",'INPUT DATA'!Q29)</f>
        <v/>
      </c>
      <c r="F84" t="str">
        <f>IF('INPUT DATA'!R29="","",'INPUT DATA'!R29)</f>
        <v/>
      </c>
      <c r="H84" s="2" t="str">
        <f>IF('INPUT DATA'!S29="","",'INPUT DATA'!S29)</f>
        <v/>
      </c>
      <c r="I84" s="3" t="str">
        <f>IF(H84="","",DATEDIF(H84,DATE(2026,6,8),"Y"))</f>
        <v/>
      </c>
      <c r="J84" s="3" t="str">
        <f>IF(H84="","",DATEDIF(H84,DATE(2026,6,8),"YM"))</f>
        <v/>
      </c>
      <c r="K84" s="3" t="str">
        <f>IF(H84="","",DATEDIF(H84,DATE(2027,4,8),"Y"))</f>
        <v/>
      </c>
      <c r="L84" s="3" t="str">
        <f>IF(H84="","",DATEDIF(H84,DATE(2027,4,8),"YM"))</f>
        <v/>
      </c>
      <c r="M84" t="str">
        <v>F</v>
      </c>
    </row>
    <row r="85" ht="15.75" customHeight="1">
      <c r="B85">
        <v>20</v>
      </c>
      <c r="C85" t="str">
        <f>IF('INPUT DATA'!Q30="","",'INPUT DATA'!Q30)</f>
        <v/>
      </c>
      <c r="F85" t="str">
        <f>IF('INPUT DATA'!R30="","",'INPUT DATA'!R30)</f>
        <v/>
      </c>
      <c r="H85" s="2" t="str">
        <f>IF('INPUT DATA'!S30="","",'INPUT DATA'!S30)</f>
        <v/>
      </c>
      <c r="I85" s="3" t="str">
        <f>IF(H85="","",DATEDIF(H85,DATE(2026,6,8),"Y"))</f>
        <v/>
      </c>
      <c r="J85" s="3" t="str">
        <f>IF(H85="","",DATEDIF(H85,DATE(2026,6,8),"YM"))</f>
        <v/>
      </c>
      <c r="K85" s="3" t="str">
        <f>IF(H85="","",DATEDIF(H85,DATE(2027,4,8),"Y"))</f>
        <v/>
      </c>
      <c r="L85" s="3" t="str">
        <f>IF(H85="","",DATEDIF(H85,DATE(2027,4,8),"YM"))</f>
        <v/>
      </c>
      <c r="M85" t="str">
        <v>F</v>
      </c>
    </row>
    <row r="86" ht="15.75" customHeight="1">
      <c r="B86">
        <v>21</v>
      </c>
      <c r="C86" t="str">
        <f>IF('INPUT DATA'!Q31="","",'INPUT DATA'!Q31)</f>
        <v/>
      </c>
      <c r="F86" t="str">
        <f>IF('INPUT DATA'!R31="","",'INPUT DATA'!R31)</f>
        <v/>
      </c>
      <c r="H86" s="2" t="str">
        <f>IF('INPUT DATA'!S31="","",'INPUT DATA'!S31)</f>
        <v/>
      </c>
      <c r="I86" s="3" t="str">
        <f>IF(H86="","",DATEDIF(H86,DATE(2026,6,8),"Y"))</f>
        <v/>
      </c>
      <c r="J86" s="3" t="str">
        <f>IF(H86="","",DATEDIF(H86,DATE(2026,6,8),"YM"))</f>
        <v/>
      </c>
      <c r="K86" s="3" t="str">
        <f>IF(H86="","",DATEDIF(H86,DATE(2027,4,8),"Y"))</f>
        <v/>
      </c>
      <c r="L86" s="3" t="str">
        <f>IF(H86="","",DATEDIF(H86,DATE(2027,4,8),"YM"))</f>
        <v/>
      </c>
      <c r="M86" t="str">
        <v>F</v>
      </c>
    </row>
    <row r="87" ht="15.75" customHeight="1">
      <c r="B87">
        <v>22</v>
      </c>
      <c r="C87" t="str">
        <f>IF('INPUT DATA'!Q32="","",'INPUT DATA'!Q32)</f>
        <v/>
      </c>
      <c r="F87" t="str">
        <f>IF('INPUT DATA'!R32="","",'INPUT DATA'!R32)</f>
        <v/>
      </c>
      <c r="H87" s="2" t="str">
        <f>IF('INPUT DATA'!S32="","",'INPUT DATA'!S32)</f>
        <v/>
      </c>
      <c r="I87" s="3" t="str">
        <f>IF(H87="","",DATEDIF(H87,DATE(2026,6,8),"Y"))</f>
        <v/>
      </c>
      <c r="J87" s="3" t="str">
        <f>IF(H87="","",DATEDIF(H87,DATE(2026,6,8),"YM"))</f>
        <v/>
      </c>
      <c r="K87" s="3" t="str">
        <f>IF(H87="","",DATEDIF(H87,DATE(2027,4,8),"Y"))</f>
        <v/>
      </c>
      <c r="L87" s="3" t="str">
        <f>IF(H87="","",DATEDIF(H87,DATE(2027,4,8),"YM"))</f>
        <v/>
      </c>
      <c r="M87" t="str">
        <v>F</v>
      </c>
    </row>
    <row r="88" ht="15.75" customHeight="1">
      <c r="B88">
        <v>23</v>
      </c>
      <c r="C88" t="str">
        <f>IF('INPUT DATA'!Q33="","",'INPUT DATA'!Q33)</f>
        <v/>
      </c>
      <c r="F88" t="str">
        <f>IF('INPUT DATA'!R33="","",'INPUT DATA'!R33)</f>
        <v/>
      </c>
      <c r="H88" s="2" t="str">
        <f>IF('INPUT DATA'!S33="","",'INPUT DATA'!S33)</f>
        <v/>
      </c>
      <c r="I88" s="3" t="str">
        <f>IF(H88="","",DATEDIF(H88,DATE(2026,6,8),"Y"))</f>
        <v/>
      </c>
      <c r="J88" s="3" t="str">
        <f>IF(H88="","",DATEDIF(H88,DATE(2026,6,8),"YM"))</f>
        <v/>
      </c>
      <c r="K88" s="3" t="str">
        <f>IF(H88="","",DATEDIF(H88,DATE(2027,4,8),"Y"))</f>
        <v/>
      </c>
      <c r="L88" s="3" t="str">
        <f>IF(H88="","",DATEDIF(H88,DATE(2027,4,8),"YM"))</f>
        <v/>
      </c>
      <c r="M88" t="str">
        <v>F</v>
      </c>
    </row>
    <row r="89" ht="15.75" customHeight="1">
      <c r="B89">
        <v>24</v>
      </c>
      <c r="C89" t="str">
        <f>IF('INPUT DATA'!Q34="","",'INPUT DATA'!Q34)</f>
        <v/>
      </c>
      <c r="F89" t="str">
        <f>IF('INPUT DATA'!R34="","",'INPUT DATA'!R34)</f>
        <v/>
      </c>
      <c r="H89" s="2" t="str">
        <f>IF('INPUT DATA'!S34="","",'INPUT DATA'!S34)</f>
        <v/>
      </c>
      <c r="I89" s="3" t="str">
        <f>IF(H89="","",DATEDIF(H89,DATE(2026,6,8),"Y"))</f>
        <v/>
      </c>
      <c r="J89" s="3" t="str">
        <f>IF(H89="","",DATEDIF(H89,DATE(2026,6,8),"YM"))</f>
        <v/>
      </c>
      <c r="K89" s="3" t="str">
        <f>IF(H89="","",DATEDIF(H89,DATE(2027,4,8),"Y"))</f>
        <v/>
      </c>
      <c r="L89" s="3" t="str">
        <f>IF(H89="","",DATEDIF(H89,DATE(2027,4,8),"YM"))</f>
        <v/>
      </c>
      <c r="M89" t="str">
        <v>F</v>
      </c>
    </row>
    <row r="90" ht="15.75" customHeight="1">
      <c r="B90">
        <v>25</v>
      </c>
      <c r="C90" t="str">
        <f>IF('INPUT DATA'!Q35="","",'INPUT DATA'!Q35)</f>
        <v/>
      </c>
      <c r="F90" t="str">
        <f>IF('INPUT DATA'!R35="","",'INPUT DATA'!R35)</f>
        <v/>
      </c>
      <c r="H90" s="2" t="str">
        <f>IF('INPUT DATA'!S35="","",'INPUT DATA'!S35)</f>
        <v/>
      </c>
      <c r="I90" s="3" t="str">
        <f>IF(H90="","",DATEDIF(H90,DATE(2026,6,8),"Y"))</f>
        <v/>
      </c>
      <c r="J90" s="3" t="str">
        <f>IF(H90="","",DATEDIF(H90,DATE(2026,6,8),"YM"))</f>
        <v/>
      </c>
      <c r="K90" s="3" t="str">
        <f>IF(H90="","",DATEDIF(H90,DATE(2027,4,8),"Y"))</f>
        <v/>
      </c>
      <c r="L90" s="3" t="str">
        <f>IF(H90="","",DATEDIF(H90,DATE(2027,4,8),"YM"))</f>
        <v/>
      </c>
      <c r="M90" t="str">
        <v>F</v>
      </c>
    </row>
    <row r="91" ht="15.75" customHeight="1">
      <c r="B91">
        <v>26</v>
      </c>
      <c r="C91" t="str">
        <f>IF('INPUT DATA'!Q36="","",'INPUT DATA'!Q36)</f>
        <v/>
      </c>
      <c r="F91" t="str">
        <f>IF('INPUT DATA'!R36="","",'INPUT DATA'!R36)</f>
        <v/>
      </c>
      <c r="H91" s="2" t="str">
        <f>IF('INPUT DATA'!S36="","",'INPUT DATA'!S36)</f>
        <v/>
      </c>
      <c r="I91" s="3" t="str">
        <f>IF(H91="","",DATEDIF(H91,DATE(2026,6,8),"Y"))</f>
        <v/>
      </c>
      <c r="J91" s="3" t="str">
        <f>IF(H91="","",DATEDIF(H91,DATE(2026,6,8),"YM"))</f>
        <v/>
      </c>
      <c r="K91" s="3" t="str">
        <f>IF(H91="","",DATEDIF(H91,DATE(2027,4,8),"Y"))</f>
        <v/>
      </c>
      <c r="L91" s="3" t="str">
        <f>IF(H91="","",DATEDIF(H91,DATE(2027,4,8),"YM"))</f>
        <v/>
      </c>
      <c r="M91" t="str">
        <v>F</v>
      </c>
    </row>
    <row r="92" ht="15.75" customHeight="1">
      <c r="B92">
        <v>27</v>
      </c>
      <c r="C92" t="str">
        <f>IF('INPUT DATA'!Q37="","",'INPUT DATA'!Q37)</f>
        <v/>
      </c>
      <c r="F92" t="str">
        <f>IF('INPUT DATA'!R37="","",'INPUT DATA'!R37)</f>
        <v/>
      </c>
      <c r="H92" s="2" t="str">
        <f>IF('INPUT DATA'!S37="","",'INPUT DATA'!S37)</f>
        <v/>
      </c>
      <c r="I92" s="3" t="str">
        <f>IF(H92="","",DATEDIF(H92,DATE(2026,6,8),"Y"))</f>
        <v/>
      </c>
      <c r="J92" s="3" t="str">
        <f>IF(H92="","",DATEDIF(H92,DATE(2026,6,8),"YM"))</f>
        <v/>
      </c>
      <c r="K92" s="3" t="str">
        <f>IF(H92="","",DATEDIF(H92,DATE(2027,4,8),"Y"))</f>
        <v/>
      </c>
      <c r="L92" s="3" t="str">
        <f>IF(H92="","",DATEDIF(H92,DATE(2027,4,8),"YM"))</f>
        <v/>
      </c>
      <c r="M92" t="str">
        <v>F</v>
      </c>
    </row>
    <row r="93" ht="15.75" customHeight="1">
      <c r="B93">
        <v>28</v>
      </c>
      <c r="C93" t="str">
        <f>IF('INPUT DATA'!Q38="","",'INPUT DATA'!Q38)</f>
        <v/>
      </c>
      <c r="F93" t="str">
        <f>IF('INPUT DATA'!R38="","",'INPUT DATA'!R38)</f>
        <v/>
      </c>
      <c r="H93" s="2" t="str">
        <f>IF('INPUT DATA'!S38="","",'INPUT DATA'!S38)</f>
        <v/>
      </c>
      <c r="I93" s="3" t="str">
        <f>IF(H93="","",DATEDIF(H93,DATE(2026,6,8),"Y"))</f>
        <v/>
      </c>
      <c r="J93" s="3" t="str">
        <f>IF(H93="","",DATEDIF(H93,DATE(2026,6,8),"YM"))</f>
        <v/>
      </c>
      <c r="K93" s="3" t="str">
        <f>IF(H93="","",DATEDIF(H93,DATE(2027,4,8),"Y"))</f>
        <v/>
      </c>
      <c r="L93" s="3" t="str">
        <f>IF(H93="","",DATEDIF(H93,DATE(2027,4,8),"YM"))</f>
        <v/>
      </c>
      <c r="M93" t="str">
        <v>F</v>
      </c>
    </row>
    <row r="94" ht="15.75" customHeight="1">
      <c r="B94">
        <v>29</v>
      </c>
      <c r="C94" t="str">
        <f>IF('INPUT DATA'!Q39="","",'INPUT DATA'!Q39)</f>
        <v/>
      </c>
      <c r="F94" t="str">
        <f>IF('INPUT DATA'!R39="","",'INPUT DATA'!R39)</f>
        <v/>
      </c>
      <c r="H94" s="2" t="str">
        <f>IF('INPUT DATA'!S39="","",'INPUT DATA'!S39)</f>
        <v/>
      </c>
      <c r="I94" s="3" t="str">
        <f>IF(H94="","",DATEDIF(H94,DATE(2026,6,8),"Y"))</f>
        <v/>
      </c>
      <c r="J94" s="3" t="str">
        <f>IF(H94="","",DATEDIF(H94,DATE(2026,6,8),"YM"))</f>
        <v/>
      </c>
      <c r="K94" s="3" t="str">
        <f>IF(H94="","",DATEDIF(H94,DATE(2027,4,8),"Y"))</f>
        <v/>
      </c>
      <c r="L94" s="3" t="str">
        <f>IF(H94="","",DATEDIF(H94,DATE(2027,4,8),"YM"))</f>
        <v/>
      </c>
      <c r="M94" t="str">
        <v>F</v>
      </c>
    </row>
    <row r="95" ht="15.75" customHeight="1">
      <c r="B95">
        <v>31</v>
      </c>
      <c r="C95" t="str">
        <f>IF('INPUT DATA'!Q40="","",'INPUT DATA'!Q40)</f>
        <v/>
      </c>
      <c r="F95" t="str">
        <f>IF('INPUT DATA'!R40="","",'INPUT DATA'!R40)</f>
        <v/>
      </c>
      <c r="H95" s="2" t="str">
        <f>IF('INPUT DATA'!S40="","",'INPUT DATA'!S40)</f>
        <v/>
      </c>
      <c r="I95" s="3" t="str">
        <f>IF(H95="","",DATEDIF(H95,DATE(2026,6,8),"Y"))</f>
        <v/>
      </c>
      <c r="J95" s="3" t="str">
        <f>IF(H95="","",DATEDIF(H95,DATE(2026,6,8),"YM"))</f>
        <v/>
      </c>
      <c r="K95" s="3" t="str">
        <f>IF(H95="","",DATEDIF(H95,DATE(2027,4,8),"Y"))</f>
        <v/>
      </c>
      <c r="L95" s="3" t="str">
        <f>IF(H95="","",DATEDIF(H95,DATE(2027,4,8),"YM"))</f>
        <v/>
      </c>
      <c r="M95" t="str">
        <v>F</v>
      </c>
    </row>
    <row r="96" ht="15.75" customHeight="1">
      <c r="B96">
        <v>32</v>
      </c>
      <c r="C96" t="str">
        <f>IF('INPUT DATA'!Q41="","",'INPUT DATA'!Q41)</f>
        <v/>
      </c>
      <c r="F96" t="str">
        <f>IF('INPUT DATA'!R41="","",'INPUT DATA'!R41)</f>
        <v/>
      </c>
      <c r="H96" s="2" t="str">
        <f>IF('INPUT DATA'!S41="","",'INPUT DATA'!S41)</f>
        <v/>
      </c>
      <c r="I96" s="3" t="str">
        <f>IF(H96="","",DATEDIF(H96,DATE(2026,6,8),"Y"))</f>
        <v/>
      </c>
      <c r="J96" s="3" t="str">
        <f>IF(H96="","",DATEDIF(H96,DATE(2026,6,8),"YM"))</f>
        <v/>
      </c>
      <c r="K96" s="3" t="str">
        <f>IF(H96="","",DATEDIF(H96,DATE(2027,4,8),"Y"))</f>
        <v/>
      </c>
      <c r="L96" s="3" t="str">
        <f>IF(H96="","",DATEDIF(H96,DATE(2027,4,8),"YM"))</f>
        <v/>
      </c>
      <c r="M96" t="str">
        <v>F</v>
      </c>
    </row>
    <row r="97" ht="15.75" customHeight="1">
      <c r="B97">
        <v>33</v>
      </c>
      <c r="C97" t="str">
        <f>IF('INPUT DATA'!Q42="","",'INPUT DATA'!Q42)</f>
        <v/>
      </c>
      <c r="F97" t="str">
        <f>IF('INPUT DATA'!R42="","",'INPUT DATA'!R42)</f>
        <v/>
      </c>
      <c r="H97" s="2" t="str">
        <f>IF('INPUT DATA'!S42="","",'INPUT DATA'!S42)</f>
        <v/>
      </c>
      <c r="I97" s="3" t="str">
        <f>IF(H97="","",DATEDIF(H97,DATE(2026,6,8),"Y"))</f>
        <v/>
      </c>
      <c r="J97" s="3" t="str">
        <f>IF(H97="","",DATEDIF(H97,DATE(2026,6,8),"YM"))</f>
        <v/>
      </c>
      <c r="K97" s="3" t="str">
        <f>IF(H97="","",DATEDIF(H97,DATE(2027,4,8),"Y"))</f>
        <v/>
      </c>
      <c r="L97" s="3" t="str">
        <f>IF(H97="","",DATEDIF(H97,DATE(2027,4,8),"YM"))</f>
        <v/>
      </c>
      <c r="M97" t="str">
        <v>F</v>
      </c>
    </row>
    <row r="98" ht="15.75" customHeight="1">
      <c r="B98">
        <v>34</v>
      </c>
      <c r="C98" t="str">
        <f>IF('INPUT DATA'!Q43="","",'INPUT DATA'!Q43)</f>
        <v/>
      </c>
      <c r="F98" t="str">
        <f>IF('INPUT DATA'!R43="","",'INPUT DATA'!R43)</f>
        <v/>
      </c>
      <c r="H98" s="2" t="str">
        <f>IF('INPUT DATA'!S43="","",'INPUT DATA'!S43)</f>
        <v/>
      </c>
      <c r="I98" s="3" t="str">
        <f>IF(H98="","",DATEDIF(H98,DATE(2026,6,8),"Y"))</f>
        <v/>
      </c>
      <c r="J98" s="3" t="str">
        <f>IF(H98="","",DATEDIF(H98,DATE(2026,6,8),"YM"))</f>
        <v/>
      </c>
      <c r="K98" s="3" t="str">
        <f>IF(H98="","",DATEDIF(H98,DATE(2027,4,8),"Y"))</f>
        <v/>
      </c>
      <c r="L98" s="3" t="str">
        <f>IF(H98="","",DATEDIF(H98,DATE(2027,4,8),"YM"))</f>
        <v/>
      </c>
      <c r="M98" t="str">
        <v>F</v>
      </c>
    </row>
    <row r="99" ht="15.75" customHeight="1">
      <c r="B99">
        <v>35</v>
      </c>
      <c r="C99" t="str">
        <f>IF('INPUT DATA'!Q44="","",'INPUT DATA'!Q44)</f>
        <v/>
      </c>
      <c r="F99" t="str">
        <f>IF('INPUT DATA'!R44="","",'INPUT DATA'!R44)</f>
        <v/>
      </c>
      <c r="H99" s="2" t="str">
        <f>IF('INPUT DATA'!S44="","",'INPUT DATA'!S44)</f>
        <v/>
      </c>
      <c r="I99" s="3" t="str">
        <f>IF(H99="","",DATEDIF(H99,DATE(2026,6,8),"Y"))</f>
        <v/>
      </c>
      <c r="J99" s="3" t="str">
        <f>IF(H99="","",DATEDIF(H99,DATE(2026,6,8),"YM"))</f>
        <v/>
      </c>
      <c r="K99" s="3" t="str">
        <f>IF(H99="","",DATEDIF(H99,DATE(2027,4,8),"Y"))</f>
        <v/>
      </c>
      <c r="L99" s="3" t="str">
        <f>IF(H99="","",DATEDIF(H99,DATE(2027,4,8),"YM"))</f>
        <v/>
      </c>
      <c r="M99" t="str">
        <v>F</v>
      </c>
    </row>
    <row r="100" ht="15.75" customHeight="1">
      <c r="B100">
        <v>36</v>
      </c>
      <c r="C100" t="str">
        <f>IF('INPUT DATA'!Q45="","",'INPUT DATA'!Q45)</f>
        <v/>
      </c>
      <c r="F100" t="str">
        <f>IF('INPUT DATA'!R45="","",'INPUT DATA'!R45)</f>
        <v/>
      </c>
      <c r="H100" s="2" t="str">
        <f>IF('INPUT DATA'!S45="","",'INPUT DATA'!S45)</f>
        <v/>
      </c>
      <c r="I100" s="3" t="str">
        <f>IF(H100="","",DATEDIF(H100,DATE(2026,6,8),"Y"))</f>
        <v/>
      </c>
      <c r="J100" s="3" t="str">
        <f>IF(H100="","",DATEDIF(H100,DATE(2026,6,8),"YM"))</f>
        <v/>
      </c>
      <c r="K100" s="3" t="str">
        <f>IF(H100="","",DATEDIF(H100,DATE(2027,4,8),"Y"))</f>
        <v/>
      </c>
      <c r="L100" s="3" t="str">
        <f>IF(H100="","",DATEDIF(H100,DATE(2027,4,8),"YM"))</f>
        <v/>
      </c>
      <c r="M100" t="str">
        <v>F</v>
      </c>
    </row>
    <row r="101" ht="15.75" customHeight="1">
      <c r="B101">
        <v>37</v>
      </c>
      <c r="C101" t="str">
        <f>IF('INPUT DATA'!Q46="","",'INPUT DATA'!Q46)</f>
        <v/>
      </c>
      <c r="F101" t="str">
        <f>IF('INPUT DATA'!R46="","",'INPUT DATA'!R46)</f>
        <v/>
      </c>
      <c r="H101" s="2" t="str">
        <f>IF('INPUT DATA'!S46="","",'INPUT DATA'!S46)</f>
        <v/>
      </c>
      <c r="I101" s="3" t="str">
        <f>IF(H101="","",DATEDIF(H101,DATE(2026,6,8),"Y"))</f>
        <v/>
      </c>
      <c r="J101" s="3" t="str">
        <f>IF(H101="","",DATEDIF(H101,DATE(2026,6,8),"YM"))</f>
        <v/>
      </c>
      <c r="K101" s="3" t="str">
        <f>IF(H101="","",DATEDIF(H101,DATE(2027,4,8),"Y"))</f>
        <v/>
      </c>
      <c r="L101" s="3" t="str">
        <f>IF(H101="","",DATEDIF(H101,DATE(2027,4,8),"YM"))</f>
        <v/>
      </c>
      <c r="M101" t="str">
        <v>F</v>
      </c>
    </row>
    <row r="102" ht="15.75" customHeight="1">
      <c r="B102">
        <v>38</v>
      </c>
      <c r="C102" t="str">
        <f>IF('INPUT DATA'!Q47="","",'INPUT DATA'!Q47)</f>
        <v/>
      </c>
      <c r="F102" t="str">
        <f>IF('INPUT DATA'!R47="","",'INPUT DATA'!R47)</f>
        <v/>
      </c>
      <c r="H102" s="2" t="str">
        <f>IF('INPUT DATA'!S47="","",'INPUT DATA'!S47)</f>
        <v/>
      </c>
      <c r="I102" s="3" t="str">
        <f>IF(H102="","",DATEDIF(H102,DATE(2026,6,8),"Y"))</f>
        <v/>
      </c>
      <c r="J102" s="3" t="str">
        <f>IF(H102="","",DATEDIF(H102,DATE(2026,6,8),"YM"))</f>
        <v/>
      </c>
      <c r="K102" s="3" t="str">
        <f>IF(H102="","",DATEDIF(H102,DATE(2027,4,8),"Y"))</f>
        <v/>
      </c>
      <c r="L102" s="3" t="str">
        <f>IF(H102="","",DATEDIF(H102,DATE(2027,4,8),"YM"))</f>
        <v/>
      </c>
      <c r="M102" t="str">
        <v>F</v>
      </c>
    </row>
    <row r="103" ht="15.75" customHeight="1">
      <c r="B103">
        <v>39</v>
      </c>
      <c r="C103" t="str">
        <f>IF('INPUT DATA'!Q48="","",'INPUT DATA'!Q48)</f>
        <v/>
      </c>
      <c r="F103" t="str">
        <f>IF('INPUT DATA'!R48="","",'INPUT DATA'!R48)</f>
        <v/>
      </c>
      <c r="H103" s="2" t="str">
        <f>IF('INPUT DATA'!S48="","",'INPUT DATA'!S48)</f>
        <v/>
      </c>
      <c r="I103" s="3" t="str">
        <f>IF(H103="","",DATEDIF(H103,DATE(2026,6,8),"Y"))</f>
        <v/>
      </c>
      <c r="J103" s="3" t="str">
        <f>IF(H103="","",DATEDIF(H103,DATE(2026,6,8),"YM"))</f>
        <v/>
      </c>
      <c r="K103" s="3" t="str">
        <f>IF(H103="","",DATEDIF(H103,DATE(2027,4,8),"Y"))</f>
        <v/>
      </c>
      <c r="L103" s="3" t="str">
        <f>IF(H103="","",DATEDIF(H103,DATE(2027,4,8),"YM"))</f>
        <v/>
      </c>
      <c r="M103" t="str">
        <v>F</v>
      </c>
    </row>
    <row r="104" ht="15.75" customHeight="1">
      <c r="B104">
        <v>40</v>
      </c>
      <c r="C104" t="str">
        <f>IF('INPUT DATA'!Q49="","",'INPUT DATA'!Q49)</f>
        <v/>
      </c>
      <c r="F104" t="str">
        <f>IF('INPUT DATA'!R49="","",'INPUT DATA'!R49)</f>
        <v/>
      </c>
      <c r="H104" s="2" t="str">
        <f>IF('INPUT DATA'!S49="","",'INPUT DATA'!S49)</f>
        <v/>
      </c>
      <c r="I104" s="3" t="str">
        <f>IF(H104="","",DATEDIF(H104,DATE(2026,6,8),"Y"))</f>
        <v/>
      </c>
      <c r="J104" s="3" t="str">
        <f>IF(H104="","",DATEDIF(H104,DATE(2026,6,8),"YM"))</f>
        <v/>
      </c>
      <c r="K104" s="3" t="str">
        <f>IF(H104="","",DATEDIF(H104,DATE(2027,4,8),"Y"))</f>
        <v/>
      </c>
      <c r="L104" s="3" t="str">
        <f>IF(H104="","",DATEDIF(H104,DATE(2027,4,8),"YM"))</f>
        <v/>
      </c>
      <c r="M104" t="str">
        <v>F</v>
      </c>
    </row>
    <row r="105" ht="15.75" customHeight="1">
      <c r="B105">
        <v>41</v>
      </c>
      <c r="C105" t="str">
        <f>IF('INPUT DATA'!Q50="","",'INPUT DATA'!Q50)</f>
        <v/>
      </c>
      <c r="F105" t="str">
        <f>IF('INPUT DATA'!R50="","",'INPUT DATA'!R50)</f>
        <v/>
      </c>
      <c r="H105" s="2" t="str">
        <f>IF('INPUT DATA'!S50="","",'INPUT DATA'!S50)</f>
        <v/>
      </c>
      <c r="I105" s="3" t="str">
        <f>IF(H105="","",DATEDIF(H105,DATE(2026,6,8),"Y"))</f>
        <v/>
      </c>
      <c r="J105" s="3" t="str">
        <f>IF(H105="","",DATEDIF(H105,DATE(2026,6,8),"YM"))</f>
        <v/>
      </c>
      <c r="K105" s="3" t="str">
        <f>IF(H105="","",DATEDIF(H105,DATE(2027,4,8),"Y"))</f>
        <v/>
      </c>
      <c r="L105" s="3" t="str">
        <f>IF(H105="","",DATEDIF(H105,DATE(2027,4,8),"YM"))</f>
        <v/>
      </c>
      <c r="M105" t="str">
        <v>F</v>
      </c>
    </row>
    <row r="106" ht="15.75" customHeight="1">
      <c r="B106">
        <v>42</v>
      </c>
      <c r="C106" t="str">
        <f>IF('INPUT DATA'!Q51="","",'INPUT DATA'!Q51)</f>
        <v/>
      </c>
      <c r="F106" t="str">
        <f>IF('INPUT DATA'!R51="","",'INPUT DATA'!R51)</f>
        <v/>
      </c>
      <c r="H106" s="2" t="str">
        <f>IF('INPUT DATA'!S51="","",'INPUT DATA'!S51)</f>
        <v/>
      </c>
      <c r="I106" s="3" t="str">
        <f>IF(H106="","",DATEDIF(H106,DATE(2026,6,8),"Y"))</f>
        <v/>
      </c>
      <c r="J106" s="3" t="str">
        <f>IF(H106="","",DATEDIF(H106,DATE(2026,6,8),"YM"))</f>
        <v/>
      </c>
      <c r="K106" s="3" t="str">
        <f>IF(H106="","",DATEDIF(H106,DATE(2027,4,8),"Y"))</f>
        <v/>
      </c>
      <c r="L106" s="3" t="str">
        <f>IF(H106="","",DATEDIF(H106,DATE(2027,4,8),"YM"))</f>
        <v/>
      </c>
      <c r="M106" t="str">
        <v>F</v>
      </c>
    </row>
    <row r="107" ht="15.75" customHeight="1">
      <c r="B107">
        <v>43</v>
      </c>
      <c r="C107" t="str">
        <f>IF('INPUT DATA'!Q52="","",'INPUT DATA'!Q52)</f>
        <v/>
      </c>
      <c r="F107" t="str">
        <f>IF('INPUT DATA'!R52="","",'INPUT DATA'!R52)</f>
        <v/>
      </c>
      <c r="H107" s="2" t="str">
        <f>IF('INPUT DATA'!S52="","",'INPUT DATA'!S52)</f>
        <v/>
      </c>
      <c r="I107" s="3" t="str">
        <f>IF(H107="","",DATEDIF(H107,DATE(2026,6,8),"Y"))</f>
        <v/>
      </c>
      <c r="J107" s="3" t="str">
        <f>IF(H107="","",DATEDIF(H107,DATE(2026,6,8),"YM"))</f>
        <v/>
      </c>
      <c r="K107" s="3" t="str">
        <f>IF(H107="","",DATEDIF(H107,DATE(2027,4,8),"Y"))</f>
        <v/>
      </c>
      <c r="L107" s="3" t="str">
        <f>IF(H107="","",DATEDIF(H107,DATE(2027,4,8),"YM"))</f>
        <v/>
      </c>
      <c r="M107" t="str">
        <v>F</v>
      </c>
    </row>
    <row r="108" ht="15.75" customHeight="1">
      <c r="B108">
        <v>44</v>
      </c>
      <c r="C108" t="str">
        <f>IF('INPUT DATA'!Q53="","",'INPUT DATA'!Q53)</f>
        <v/>
      </c>
      <c r="F108" t="str">
        <f>IF('INPUT DATA'!R53="","",'INPUT DATA'!R53)</f>
        <v/>
      </c>
      <c r="H108" s="2" t="str">
        <f>IF('INPUT DATA'!S53="","",'INPUT DATA'!S53)</f>
        <v/>
      </c>
      <c r="I108" s="3" t="str">
        <f>IF(H108="","",DATEDIF(H108,DATE(2026,6,8),"Y"))</f>
        <v/>
      </c>
      <c r="J108" s="3" t="str">
        <f>IF(H108="","",DATEDIF(H108,DATE(2026,6,8),"YM"))</f>
        <v/>
      </c>
      <c r="K108" s="3" t="str">
        <f>IF(H108="","",DATEDIF(H108,DATE(2027,4,8),"Y"))</f>
        <v/>
      </c>
      <c r="L108" s="3" t="str">
        <f>IF(H108="","",DATEDIF(H108,DATE(2027,4,8),"YM"))</f>
        <v/>
      </c>
      <c r="M108" t="str">
        <v>F</v>
      </c>
    </row>
    <row r="109" ht="15.75" customHeight="1">
      <c r="B109">
        <v>45</v>
      </c>
      <c r="C109" t="str">
        <f>IF('INPUT DATA'!Q54="","",'INPUT DATA'!Q54)</f>
        <v/>
      </c>
      <c r="F109" t="str">
        <f>IF('INPUT DATA'!R54="","",'INPUT DATA'!R54)</f>
        <v/>
      </c>
      <c r="H109" s="2" t="str">
        <f>IF('INPUT DATA'!S54="","",'INPUT DATA'!S54)</f>
        <v/>
      </c>
      <c r="I109" s="3" t="str">
        <f>IF(H109="","",DATEDIF(H109,DATE(2026,6,8),"Y"))</f>
        <v/>
      </c>
      <c r="J109" s="3" t="str">
        <f>IF(H109="","",DATEDIF(H109,DATE(2026,6,8),"YM"))</f>
        <v/>
      </c>
      <c r="K109" s="3" t="str">
        <f>IF(H109="","",DATEDIF(H109,DATE(2027,4,8),"Y"))</f>
        <v/>
      </c>
      <c r="L109" s="3" t="str">
        <f>IF(H109="","",DATEDIF(H109,DATE(2027,4,8),"YM"))</f>
        <v/>
      </c>
      <c r="M109" t="str">
        <v>F</v>
      </c>
    </row>
    <row r="110" ht="15.75" customHeight="1">
      <c r="B110">
        <v>46</v>
      </c>
      <c r="C110" t="str">
        <f>IF('INPUT DATA'!Q55="","",'INPUT DATA'!Q55)</f>
        <v/>
      </c>
      <c r="F110" t="str">
        <f>IF('INPUT DATA'!R55="","",'INPUT DATA'!R55)</f>
        <v/>
      </c>
      <c r="H110" s="2" t="str">
        <f>IF('INPUT DATA'!S55="","",'INPUT DATA'!S55)</f>
        <v/>
      </c>
      <c r="I110" s="3" t="str">
        <f>IF(H110="","",DATEDIF(H110,DATE(2026,6,8),"Y"))</f>
        <v/>
      </c>
      <c r="J110" s="3" t="str">
        <f>IF(H110="","",DATEDIF(H110,DATE(2026,6,8),"YM"))</f>
        <v/>
      </c>
      <c r="K110" s="3" t="str">
        <f>IF(H110="","",DATEDIF(H110,DATE(2027,4,8),"Y"))</f>
        <v/>
      </c>
      <c r="L110" s="3" t="str">
        <f>IF(H110="","",DATEDIF(H110,DATE(2027,4,8),"YM"))</f>
        <v/>
      </c>
      <c r="M110" t="str">
        <v>F</v>
      </c>
    </row>
    <row r="111" ht="15.75" customHeight="1">
      <c r="B111">
        <v>47</v>
      </c>
      <c r="C111" t="str">
        <f>IF('INPUT DATA'!Q56="","",'INPUT DATA'!Q56)</f>
        <v/>
      </c>
      <c r="F111" t="str">
        <f>IF('INPUT DATA'!R56="","",'INPUT DATA'!R56)</f>
        <v/>
      </c>
      <c r="H111" s="2" t="str">
        <f>IF('INPUT DATA'!S56="","",'INPUT DATA'!S56)</f>
        <v/>
      </c>
      <c r="I111" s="3" t="str">
        <f>IF(H111="","",DATEDIF(H111,DATE(2026,6,8),"Y"))</f>
        <v/>
      </c>
      <c r="J111" s="3" t="str">
        <f>IF(H111="","",DATEDIF(H111,DATE(2026,6,8),"YM"))</f>
        <v/>
      </c>
      <c r="K111" s="3" t="str">
        <f>IF(H111="","",DATEDIF(H111,DATE(2027,4,8),"Y"))</f>
        <v/>
      </c>
      <c r="L111" s="3" t="str">
        <f>IF(H111="","",DATEDIF(H111,DATE(2027,4,8),"YM"))</f>
        <v/>
      </c>
      <c r="M111" t="str">
        <v>F</v>
      </c>
    </row>
    <row r="112" ht="15.75" customHeight="1">
      <c r="B112">
        <v>48</v>
      </c>
      <c r="C112" t="str">
        <f>IF('INPUT DATA'!Q57="","",'INPUT DATA'!Q57)</f>
        <v/>
      </c>
      <c r="F112" t="str">
        <f>IF('INPUT DATA'!R57="","",'INPUT DATA'!R57)</f>
        <v/>
      </c>
      <c r="H112" s="2" t="str">
        <f>IF('INPUT DATA'!S57="","",'INPUT DATA'!S57)</f>
        <v/>
      </c>
      <c r="I112" s="3" t="str">
        <f>IF(H112="","",DATEDIF(H112,DATE(2026,6,8),"Y"))</f>
        <v/>
      </c>
      <c r="J112" s="3" t="str">
        <f>IF(H112="","",DATEDIF(H112,DATE(2026,6,8),"YM"))</f>
        <v/>
      </c>
      <c r="K112" s="3" t="str">
        <f>IF(H112="","",DATEDIF(H112,DATE(2027,4,8),"Y"))</f>
        <v/>
      </c>
      <c r="L112" s="3" t="str">
        <f>IF(H112="","",DATEDIF(H112,DATE(2027,4,8),"YM"))</f>
        <v/>
      </c>
      <c r="M112" t="str">
        <v>F</v>
      </c>
    </row>
    <row r="113" ht="15.75" customHeight="1">
      <c r="B113">
        <v>49</v>
      </c>
      <c r="C113" t="str">
        <f>IF('INPUT DATA'!Q58="","",'INPUT DATA'!Q58)</f>
        <v/>
      </c>
      <c r="F113" t="str">
        <f>IF('INPUT DATA'!R58="","",'INPUT DATA'!R58)</f>
        <v/>
      </c>
      <c r="H113" s="2" t="str">
        <f>IF('INPUT DATA'!S58="","",'INPUT DATA'!S58)</f>
        <v/>
      </c>
      <c r="I113" s="3" t="str">
        <f>IF(H113="","",DATEDIF(H113,DATE(2026,6,8),"Y"))</f>
        <v/>
      </c>
      <c r="J113" s="3" t="str">
        <f>IF(H113="","",DATEDIF(H113,DATE(2026,6,8),"YM"))</f>
        <v/>
      </c>
      <c r="K113" s="3" t="str">
        <f>IF(H113="","",DATEDIF(H113,DATE(2027,4,8),"Y"))</f>
        <v/>
      </c>
      <c r="L113" s="3" t="str">
        <f>IF(H113="","",DATEDIF(H113,DATE(2027,4,8),"YM"))</f>
        <v/>
      </c>
      <c r="M113" t="str">
        <v>F</v>
      </c>
    </row>
    <row r="114" ht="15.75" customHeight="1">
      <c r="B114">
        <v>50</v>
      </c>
      <c r="C114" t="str">
        <f>IF('INPUT DATA'!Q59="","",'INPUT DATA'!Q59)</f>
        <v/>
      </c>
      <c r="F114" t="str">
        <f>IF('INPUT DATA'!R59="","",'INPUT DATA'!R59)</f>
        <v/>
      </c>
      <c r="H114" s="2" t="str">
        <f>IF('INPUT DATA'!S59="","",'INPUT DATA'!S59)</f>
        <v/>
      </c>
      <c r="I114" s="3" t="str">
        <f>IF(H114="","",DATEDIF(H114,DATE(2026,6,8),"Y"))</f>
        <v/>
      </c>
      <c r="J114" s="3" t="str">
        <f>IF(H114="","",DATEDIF(H114,DATE(2026,6,8),"YM"))</f>
        <v/>
      </c>
      <c r="K114" s="3" t="str">
        <f>IF(H114="","",DATEDIF(H114,DATE(2027,4,8),"Y"))</f>
        <v/>
      </c>
      <c r="L114" s="3" t="str">
        <f>IF(H114="","",DATEDIF(H114,DATE(2027,4,8),"YM"))</f>
        <v/>
      </c>
      <c r="M114" t="str">
        <v>F</v>
      </c>
    </row>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288">
    <mergeCell ref="AH12:AH14"/>
    <mergeCell ref="AI12:AI14"/>
    <mergeCell ref="AA12:AA14"/>
    <mergeCell ref="AB12:AB14"/>
    <mergeCell ref="AC12:AC14"/>
    <mergeCell ref="AD12:AD14"/>
    <mergeCell ref="AE12:AE14"/>
    <mergeCell ref="AF12:AF14"/>
    <mergeCell ref="AG12:AG14"/>
    <mergeCell ref="AQ12:AQ14"/>
    <mergeCell ref="AR12:AR14"/>
    <mergeCell ref="AJ12:AJ14"/>
    <mergeCell ref="AK12:AK14"/>
    <mergeCell ref="AL12:AL14"/>
    <mergeCell ref="AM12:AM14"/>
    <mergeCell ref="AN12:AN14"/>
    <mergeCell ref="AO12:AO14"/>
    <mergeCell ref="AP12:AP14"/>
    <mergeCell ref="N11:R11"/>
    <mergeCell ref="S11:Y11"/>
    <mergeCell ref="Z11:AS11"/>
    <mergeCell ref="AT11:BU11"/>
    <mergeCell ref="AT12:AW12"/>
    <mergeCell ref="AX12:AY12"/>
    <mergeCell ref="AZ12:BE12"/>
    <mergeCell ref="BF12:BK12"/>
    <mergeCell ref="BL12:BM12"/>
    <mergeCell ref="BN12:BP12"/>
    <mergeCell ref="BQ12:BU12"/>
    <mergeCell ref="BJ13:BK13"/>
    <mergeCell ref="BL13:BL14"/>
    <mergeCell ref="AZ13:AZ14"/>
    <mergeCell ref="BA13:BA14"/>
    <mergeCell ref="BB13:BB14"/>
    <mergeCell ref="BC13:BC14"/>
    <mergeCell ref="BD13:BD14"/>
    <mergeCell ref="BE13:BE14"/>
    <mergeCell ref="BG13:BH13"/>
    <mergeCell ref="BT13:BT14"/>
    <mergeCell ref="BU13:BU14"/>
    <mergeCell ref="BM13:BM14"/>
    <mergeCell ref="BN13:BN14"/>
    <mergeCell ref="BO13:BO14"/>
    <mergeCell ref="BP13:BP14"/>
    <mergeCell ref="BQ13:BQ14"/>
    <mergeCell ref="BR13:BR14"/>
    <mergeCell ref="BS13:BS14"/>
    <mergeCell ref="N9:Q9"/>
    <mergeCell ref="R9:AD9"/>
    <mergeCell ref="AE9:AG10"/>
    <mergeCell ref="AH9:BU10"/>
    <mergeCell ref="N10:Q10"/>
    <mergeCell ref="R10:AD10"/>
    <mergeCell ref="A1:V4"/>
    <mergeCell ref="E5:G5"/>
    <mergeCell ref="K5:M5"/>
    <mergeCell ref="E6:G6"/>
    <mergeCell ref="K6:M6"/>
    <mergeCell ref="T6:U6"/>
    <mergeCell ref="B9:H11"/>
    <mergeCell ref="J12:J14"/>
    <mergeCell ref="K12:K14"/>
    <mergeCell ref="L12:L14"/>
    <mergeCell ref="N12:N14"/>
    <mergeCell ref="O12:O14"/>
    <mergeCell ref="P12:P14"/>
    <mergeCell ref="Q12:Q14"/>
    <mergeCell ref="R12:R14"/>
    <mergeCell ref="S12:S14"/>
    <mergeCell ref="B15:BU15"/>
    <mergeCell ref="T12:T14"/>
    <mergeCell ref="U12:U14"/>
    <mergeCell ref="V12:V14"/>
    <mergeCell ref="W12:W14"/>
    <mergeCell ref="X12:X14"/>
    <mergeCell ref="Y12:Y14"/>
    <mergeCell ref="Z12:Z14"/>
    <mergeCell ref="AS12:AS14"/>
    <mergeCell ref="AT13:AT14"/>
    <mergeCell ref="AU13:AU14"/>
    <mergeCell ref="AV13:AV14"/>
    <mergeCell ref="AW13:AW14"/>
    <mergeCell ref="AX13:AX14"/>
    <mergeCell ref="AY13:AY14"/>
    <mergeCell ref="I9:J11"/>
    <mergeCell ref="K9:L11"/>
    <mergeCell ref="M9:M14"/>
    <mergeCell ref="B12:E14"/>
    <mergeCell ref="F12:G14"/>
    <mergeCell ref="H12:H14"/>
    <mergeCell ref="I12:I14"/>
    <mergeCell ref="C37:E37"/>
    <mergeCell ref="F37:G37"/>
    <mergeCell ref="C38:E38"/>
    <mergeCell ref="F38:G38"/>
    <mergeCell ref="C39:E39"/>
    <mergeCell ref="F39:G39"/>
    <mergeCell ref="F40:G40"/>
    <mergeCell ref="C40:E40"/>
    <mergeCell ref="C41:E41"/>
    <mergeCell ref="F41:G41"/>
    <mergeCell ref="C42:E42"/>
    <mergeCell ref="F42:G42"/>
    <mergeCell ref="C43:E43"/>
    <mergeCell ref="F43:G43"/>
    <mergeCell ref="B65:BU65"/>
    <mergeCell ref="C94:E94"/>
    <mergeCell ref="F94:G94"/>
    <mergeCell ref="C95:E95"/>
    <mergeCell ref="F95:G95"/>
    <mergeCell ref="C96:E96"/>
    <mergeCell ref="F96:G96"/>
    <mergeCell ref="F97:G97"/>
    <mergeCell ref="C97:E97"/>
    <mergeCell ref="C98:E98"/>
    <mergeCell ref="F98:G98"/>
    <mergeCell ref="C99:E99"/>
    <mergeCell ref="F99:G99"/>
    <mergeCell ref="C100:E100"/>
    <mergeCell ref="F100:G100"/>
    <mergeCell ref="C101:E101"/>
    <mergeCell ref="F101:G101"/>
    <mergeCell ref="C102:E102"/>
    <mergeCell ref="F102:G102"/>
    <mergeCell ref="C103:E103"/>
    <mergeCell ref="F103:G103"/>
    <mergeCell ref="F104:G104"/>
    <mergeCell ref="C104:E104"/>
    <mergeCell ref="C105:E105"/>
    <mergeCell ref="F105:G105"/>
    <mergeCell ref="C106:E106"/>
    <mergeCell ref="F106:G106"/>
    <mergeCell ref="C107:E107"/>
    <mergeCell ref="F107:G107"/>
    <mergeCell ref="C16:E16"/>
    <mergeCell ref="F16:G16"/>
    <mergeCell ref="C17:E17"/>
    <mergeCell ref="F17:G17"/>
    <mergeCell ref="C18:E18"/>
    <mergeCell ref="F18:G18"/>
    <mergeCell ref="F19:G19"/>
    <mergeCell ref="C19:E19"/>
    <mergeCell ref="C20:E20"/>
    <mergeCell ref="F20:G20"/>
    <mergeCell ref="C21:E21"/>
    <mergeCell ref="F21:G21"/>
    <mergeCell ref="C22:E22"/>
    <mergeCell ref="F22:G22"/>
    <mergeCell ref="C23:E23"/>
    <mergeCell ref="F23:G23"/>
    <mergeCell ref="C24:E24"/>
    <mergeCell ref="F24:G24"/>
    <mergeCell ref="C25:E25"/>
    <mergeCell ref="F25:G25"/>
    <mergeCell ref="F26:G26"/>
    <mergeCell ref="C26:E26"/>
    <mergeCell ref="C27:E27"/>
    <mergeCell ref="F27:G27"/>
    <mergeCell ref="C28:E28"/>
    <mergeCell ref="F28:G28"/>
    <mergeCell ref="C29:E29"/>
    <mergeCell ref="F29:G29"/>
    <mergeCell ref="C30:E30"/>
    <mergeCell ref="F30:G30"/>
    <mergeCell ref="C31:E31"/>
    <mergeCell ref="F31:G31"/>
    <mergeCell ref="C32:E32"/>
    <mergeCell ref="F32:G32"/>
    <mergeCell ref="F33:G33"/>
    <mergeCell ref="C33:E33"/>
    <mergeCell ref="C34:E34"/>
    <mergeCell ref="F34:G34"/>
    <mergeCell ref="C35:E35"/>
    <mergeCell ref="F35:G35"/>
    <mergeCell ref="C36:E36"/>
    <mergeCell ref="F36:G36"/>
    <mergeCell ref="C111:E111"/>
    <mergeCell ref="C112:E112"/>
    <mergeCell ref="F112:G112"/>
    <mergeCell ref="C113:E113"/>
    <mergeCell ref="F113:G113"/>
    <mergeCell ref="C114:E114"/>
    <mergeCell ref="F114:G114"/>
    <mergeCell ref="C108:E108"/>
    <mergeCell ref="F108:G108"/>
    <mergeCell ref="C109:E109"/>
    <mergeCell ref="F109:G109"/>
    <mergeCell ref="C110:E110"/>
    <mergeCell ref="F110:G110"/>
    <mergeCell ref="F111:G111"/>
    <mergeCell ref="C44:E44"/>
    <mergeCell ref="F44:G44"/>
    <mergeCell ref="C45:E45"/>
    <mergeCell ref="F45:G45"/>
    <mergeCell ref="C46:E46"/>
    <mergeCell ref="F46:G46"/>
    <mergeCell ref="F47:G47"/>
    <mergeCell ref="C47:E47"/>
    <mergeCell ref="C48:E48"/>
    <mergeCell ref="F48:G48"/>
    <mergeCell ref="C49:E49"/>
    <mergeCell ref="F49:G49"/>
    <mergeCell ref="C50:E50"/>
    <mergeCell ref="F50:G50"/>
    <mergeCell ref="C51:E51"/>
    <mergeCell ref="F51:G51"/>
    <mergeCell ref="C52:E52"/>
    <mergeCell ref="F52:G52"/>
    <mergeCell ref="C53:E53"/>
    <mergeCell ref="F53:G53"/>
    <mergeCell ref="F54:G54"/>
    <mergeCell ref="C54:E54"/>
    <mergeCell ref="C55:E55"/>
    <mergeCell ref="F55:G55"/>
    <mergeCell ref="C56:E56"/>
    <mergeCell ref="F56:G56"/>
    <mergeCell ref="C57:E57"/>
    <mergeCell ref="F57:G57"/>
    <mergeCell ref="C58:E58"/>
    <mergeCell ref="F58:G58"/>
    <mergeCell ref="C59:E59"/>
    <mergeCell ref="F59:G59"/>
    <mergeCell ref="C60:E60"/>
    <mergeCell ref="F60:G60"/>
    <mergeCell ref="F61:G61"/>
    <mergeCell ref="C61:E61"/>
    <mergeCell ref="C62:E62"/>
    <mergeCell ref="F62:G62"/>
    <mergeCell ref="C63:E63"/>
    <mergeCell ref="F63:G63"/>
    <mergeCell ref="C64:E64"/>
    <mergeCell ref="F64:G64"/>
    <mergeCell ref="C66:E66"/>
    <mergeCell ref="F66:G66"/>
    <mergeCell ref="C67:E67"/>
    <mergeCell ref="F67:G67"/>
    <mergeCell ref="C68:E68"/>
    <mergeCell ref="F68:G68"/>
    <mergeCell ref="F69:G69"/>
    <mergeCell ref="C69:E69"/>
    <mergeCell ref="C70:E70"/>
    <mergeCell ref="F70:G70"/>
    <mergeCell ref="C71:E71"/>
    <mergeCell ref="F71:G71"/>
    <mergeCell ref="C72:E72"/>
    <mergeCell ref="F72:G72"/>
    <mergeCell ref="C73:E73"/>
    <mergeCell ref="F73:G73"/>
    <mergeCell ref="C74:E74"/>
    <mergeCell ref="F74:G74"/>
    <mergeCell ref="C75:E75"/>
    <mergeCell ref="F75:G75"/>
    <mergeCell ref="F76:G76"/>
    <mergeCell ref="C76:E76"/>
    <mergeCell ref="C77:E77"/>
    <mergeCell ref="F77:G77"/>
    <mergeCell ref="C78:E78"/>
    <mergeCell ref="F78:G78"/>
    <mergeCell ref="C79:E79"/>
    <mergeCell ref="F79:G79"/>
    <mergeCell ref="C80:E80"/>
    <mergeCell ref="F80:G80"/>
    <mergeCell ref="C81:E81"/>
    <mergeCell ref="F81:G81"/>
    <mergeCell ref="C82:E82"/>
    <mergeCell ref="F82:G82"/>
    <mergeCell ref="F83:G83"/>
    <mergeCell ref="C83:E83"/>
    <mergeCell ref="C84:E84"/>
    <mergeCell ref="F84:G84"/>
    <mergeCell ref="C85:E85"/>
    <mergeCell ref="F85:G85"/>
    <mergeCell ref="C86:E86"/>
    <mergeCell ref="F86:G86"/>
    <mergeCell ref="C87:E87"/>
    <mergeCell ref="F87:G87"/>
    <mergeCell ref="C88:E88"/>
    <mergeCell ref="F88:G88"/>
    <mergeCell ref="C89:E89"/>
    <mergeCell ref="F89:G89"/>
    <mergeCell ref="F90:G90"/>
    <mergeCell ref="C90:E90"/>
    <mergeCell ref="C91:E91"/>
    <mergeCell ref="F91:G91"/>
    <mergeCell ref="C92:E92"/>
    <mergeCell ref="F92:G92"/>
    <mergeCell ref="C93:E93"/>
    <mergeCell ref="F93:G93"/>
  </mergeCells>
  <pageMargins left="0.7" right="0.7" top="0.75" bottom="0.75" header="0" footer="0"/>
  <ignoredErrors>
    <ignoredError numberStoredAsText="1" sqref="A1:BU997"/>
  </ignoredErrors>
</worksheet>
</file>

<file path=xl/worksheets/sheet5.xml><?xml version="1.0" encoding="utf-8"?>
<worksheet xmlns="http://schemas.openxmlformats.org/spreadsheetml/2006/main" xmlns:r="http://schemas.openxmlformats.org/officeDocument/2006/relationships">
  <dimension ref="A1:BU1000"/>
  <sheetViews>
    <sheetView workbookViewId="0" rightToLeft="0"/>
  </sheetViews>
  <cols>
    <col min="1" max="1" customWidth="1" width="3.75"/>
    <col min="2" max="2" customWidth="1" width="4.38"/>
    <col min="3" max="3" customWidth="1" width="13.13"/>
    <col min="6" max="6" customWidth="1" width="15.38"/>
    <col min="9" max="9" customWidth="1" width="6.38"/>
    <col min="10" max="10" customWidth="1" width="6.38"/>
    <col min="11" max="11" customWidth="1" width="6.38"/>
    <col min="12" max="12" customWidth="1" width="6.38"/>
    <col min="13" max="13" customWidth="1" width="5.13"/>
    <col min="14" max="14" customWidth="1" width="5.63"/>
    <col min="15" max="15" customWidth="1" width="5.63"/>
    <col min="16" max="16" customWidth="1" width="5.63"/>
    <col min="17" max="17" customWidth="1" width="5.63"/>
    <col min="18" max="18" customWidth="1" width="5.63"/>
    <col min="19" max="19" customWidth="1" width="5.63"/>
    <col min="20" max="20" customWidth="1" width="5.63"/>
    <col min="21" max="21" customWidth="1" width="5.63"/>
    <col min="22" max="22" customWidth="1" width="5.63"/>
    <col min="23" max="23" customWidth="1" width="5.63"/>
    <col min="24" max="24" customWidth="1" width="5.63"/>
    <col min="25" max="25" customWidth="1" width="5.63"/>
    <col min="26" max="26" customWidth="1" width="5.63"/>
    <col min="27" max="27" customWidth="1" width="5.63"/>
    <col min="28" max="28" customWidth="1" width="5.63"/>
    <col min="29" max="29" customWidth="1" width="5.63"/>
    <col min="30" max="30" customWidth="1" width="5.63"/>
    <col min="31" max="31" customWidth="1" width="5.63"/>
    <col min="32" max="32" customWidth="1" width="5.63"/>
    <col min="33" max="33" customWidth="1" width="5.63"/>
    <col min="34" max="34" customWidth="1" width="5.63"/>
    <col min="35" max="35" customWidth="1" width="5.63"/>
    <col min="36" max="36" customWidth="1" width="5.63"/>
    <col min="37" max="37" customWidth="1" width="5.63"/>
    <col min="38" max="38" customWidth="1" width="5.63"/>
    <col min="39" max="39" customWidth="1" width="5.63"/>
    <col min="40" max="40" customWidth="1" width="5.63"/>
    <col min="41" max="41" customWidth="1" width="5.63"/>
    <col min="42" max="42" customWidth="1" width="5.63"/>
    <col min="43" max="43" customWidth="1" width="5.63"/>
    <col min="44" max="44" customWidth="1" width="5.63"/>
    <col min="45" max="45" customWidth="1" width="5.63"/>
    <col min="46" max="46" customWidth="1" width="5.63"/>
    <col min="47" max="47" customWidth="1" width="5.63"/>
    <col min="48" max="48" customWidth="1" width="5.63"/>
    <col min="49" max="49" customWidth="1" width="5.63"/>
    <col min="50" max="50" customWidth="1" width="7"/>
    <col min="51" max="51" customWidth="1" width="7"/>
    <col min="52" max="52" customWidth="1" width="5.63"/>
    <col min="53" max="53" customWidth="1" width="5.63"/>
    <col min="54" max="54" customWidth="1" width="5.63"/>
    <col min="55" max="55" customWidth="1" width="5.63"/>
    <col min="56" max="56" customWidth="1" width="5.63"/>
    <col min="57" max="57" customWidth="1" width="5.63"/>
    <col min="58" max="58" customWidth="1" width="15.63"/>
    <col min="59" max="59" customWidth="1" width="7"/>
    <col min="60" max="60" customWidth="1" width="5.63"/>
    <col min="61" max="61" customWidth="1" width="5.63"/>
    <col min="62" max="62" customWidth="1" width="7.5"/>
    <col min="63" max="63" customWidth="1" width="5.63"/>
    <col min="64" max="64" customWidth="1" width="10.38"/>
    <col min="65" max="65" customWidth="1" width="8.38"/>
    <col min="66" max="66" customWidth="1" width="5.63"/>
    <col min="67" max="67" customWidth="1" width="5.63"/>
    <col min="68" max="68" customWidth="1" width="5.63"/>
    <col min="69" max="69" customWidth="1" width="5.63"/>
    <col min="70" max="70" customWidth="1" width="5.63"/>
    <col min="71" max="71" customWidth="1" width="5.63"/>
    <col min="72" max="72" customWidth="1" width="5.63"/>
    <col min="73" max="73" customWidth="1" width="5.63"/>
  </cols>
  <sheetData>
    <row r="1">
      <c r="A1" t="str">
        <v>CLASS SUMMARY - SECOND</v>
      </c>
    </row>
    <row r="2"/>
    <row r="3"/>
    <row r="4"/>
    <row r="5">
      <c r="D5" t="str">
        <v>REGION</v>
      </c>
      <c r="E5" t="str">
        <f>'INPUT DATA'!F10</f>
        <v/>
      </c>
      <c r="I5" t="str">
        <v>DIVISION</v>
      </c>
      <c r="K5" t="str">
        <f>'INPUT DATA'!F11</f>
        <v/>
      </c>
    </row>
    <row r="6">
      <c r="D6" t="str">
        <v>SCHOOL NAME</v>
      </c>
      <c r="E6" t="str">
        <f>'INPUT DATA'!F16</f>
        <v/>
      </c>
      <c r="I6" t="str">
        <v>SCHOOL ID</v>
      </c>
      <c r="K6" t="str">
        <f>'INPUT DATA'!F15</f>
        <v/>
      </c>
      <c r="S6" t="str">
        <v>SCHOOL YEAR</v>
      </c>
      <c r="T6" t="str">
        <f>'INPUT DATA'!F18</f>
        <v/>
      </c>
    </row>
    <row r="7"/>
    <row r="8" ht="15.75" customHeight="1"/>
    <row r="9" ht="15.75" customHeight="1">
      <c r="B9" t="str">
        <v>SECOND TERM</v>
      </c>
      <c r="I9" t="str">
        <v>Age (BoSY)</v>
      </c>
      <c r="K9" t="str">
        <v>Age (EoSY)</v>
      </c>
      <c r="M9" t="str">
        <v>Sex</v>
      </c>
      <c r="N9" t="str">
        <v>GRADE LEVEL</v>
      </c>
      <c r="R9" t="str">
        <f>'INPUT DATA'!F27</f>
        <v/>
      </c>
      <c r="AE9" t="str">
        <v>ADVISER</v>
      </c>
      <c r="AH9" t="str">
        <f>'INPUT DATA'!F26</f>
        <v/>
      </c>
    </row>
    <row r="10" ht="15.75" customHeight="1">
      <c r="N10" t="str">
        <v>SECTION</v>
      </c>
      <c r="R10" t="str">
        <f>'INPUT DATA'!F28</f>
        <v/>
      </c>
    </row>
    <row r="11" ht="34.5" customHeight="1">
      <c r="N11" t="str">
        <v>I. Sensory Perceptual and Motor Development</v>
      </c>
      <c r="S11" t="str">
        <v>II. Socio-emotional Development</v>
      </c>
      <c r="Z11" t="str">
        <v>III. Cognitive Development</v>
      </c>
      <c r="AT11" t="str">
        <v>IV. Language, Literacy, and Communication Development</v>
      </c>
    </row>
    <row r="12" ht="34.5" customHeight="1">
      <c r="B12" t="str">
        <v>LEARNERS' NAMES</v>
      </c>
      <c r="F12" t="str">
        <v>LRN</v>
      </c>
      <c r="H12" t="str">
        <v>Date of Birth</v>
      </c>
      <c r="I12" t="str">
        <v>Years</v>
      </c>
      <c r="J12" t="str">
        <v>Months</v>
      </c>
      <c r="K12" t="str">
        <v>Years</v>
      </c>
      <c r="L12" t="str">
        <v>Months</v>
      </c>
      <c r="N12">
        <v>1</v>
      </c>
      <c r="O12">
        <v>2</v>
      </c>
      <c r="P12">
        <v>3</v>
      </c>
      <c r="Q12">
        <v>4</v>
      </c>
      <c r="R12">
        <v>5</v>
      </c>
      <c r="S12">
        <v>1</v>
      </c>
      <c r="T12">
        <v>2</v>
      </c>
      <c r="U12">
        <v>3</v>
      </c>
      <c r="V12">
        <v>4</v>
      </c>
      <c r="W12">
        <v>5</v>
      </c>
      <c r="X12">
        <v>6</v>
      </c>
      <c r="Y12">
        <v>7</v>
      </c>
      <c r="Z12">
        <v>1</v>
      </c>
      <c r="AA12">
        <v>2</v>
      </c>
      <c r="AB12">
        <v>3</v>
      </c>
      <c r="AC12">
        <v>4</v>
      </c>
      <c r="AD12">
        <v>5</v>
      </c>
      <c r="AE12">
        <v>6</v>
      </c>
      <c r="AF12">
        <v>7</v>
      </c>
      <c r="AG12">
        <v>8</v>
      </c>
      <c r="AH12">
        <v>9</v>
      </c>
      <c r="AI12">
        <v>10</v>
      </c>
      <c r="AJ12">
        <v>11</v>
      </c>
      <c r="AK12">
        <v>12</v>
      </c>
      <c r="AL12">
        <v>13</v>
      </c>
      <c r="AM12">
        <v>14</v>
      </c>
      <c r="AN12">
        <v>15</v>
      </c>
      <c r="AO12">
        <v>16</v>
      </c>
      <c r="AP12">
        <v>17</v>
      </c>
      <c r="AQ12">
        <v>18</v>
      </c>
      <c r="AR12">
        <v>19</v>
      </c>
      <c r="AS12">
        <v>20</v>
      </c>
      <c r="AT12" t="str">
        <v>A. Listening and Viewing</v>
      </c>
      <c r="AX12" t="str">
        <v>B. Sight Word Recognition</v>
      </c>
      <c r="AZ12" t="str">
        <v>C. Speaking</v>
      </c>
      <c r="BF12" t="str">
        <v>D. Reading</v>
      </c>
      <c r="BL12" t="str">
        <v>E. Comprehension</v>
      </c>
      <c r="BN12" t="str">
        <v>F. Concepts of Print</v>
      </c>
      <c r="BQ12" t="str">
        <v>G. Writing</v>
      </c>
    </row>
    <row r="13" ht="51" customHeight="1">
      <c r="AT13">
        <v>1</v>
      </c>
      <c r="AU13">
        <v>2</v>
      </c>
      <c r="AV13">
        <v>3</v>
      </c>
      <c r="AW13">
        <v>4</v>
      </c>
      <c r="AX13">
        <v>5</v>
      </c>
      <c r="AY13">
        <v>6</v>
      </c>
      <c r="AZ13">
        <v>7</v>
      </c>
      <c r="BA13">
        <v>8</v>
      </c>
      <c r="BB13">
        <v>9</v>
      </c>
      <c r="BC13">
        <v>10</v>
      </c>
      <c r="BD13">
        <v>11</v>
      </c>
      <c r="BE13">
        <v>12</v>
      </c>
      <c r="BF13" t="str">
        <v>Phonological / Phonemic Awareness</v>
      </c>
      <c r="BG13" t="str">
        <v>Letter Knowledge</v>
      </c>
      <c r="BJ13" t="str">
        <v>Letter Sound Relationship</v>
      </c>
      <c r="BL13">
        <v>19</v>
      </c>
      <c r="BM13">
        <v>20</v>
      </c>
      <c r="BN13">
        <v>21</v>
      </c>
      <c r="BO13">
        <v>22</v>
      </c>
      <c r="BP13">
        <v>23</v>
      </c>
      <c r="BQ13">
        <v>24</v>
      </c>
      <c r="BR13">
        <v>25</v>
      </c>
      <c r="BS13">
        <v>26</v>
      </c>
      <c r="BT13">
        <v>27</v>
      </c>
      <c r="BU13">
        <v>28</v>
      </c>
    </row>
    <row r="14" ht="15.75" customHeight="1">
      <c r="BF14">
        <v>13</v>
      </c>
      <c r="BG14">
        <v>14</v>
      </c>
      <c r="BH14">
        <v>15</v>
      </c>
      <c r="BI14">
        <v>16</v>
      </c>
      <c r="BJ14">
        <v>17</v>
      </c>
      <c r="BK14">
        <v>18</v>
      </c>
    </row>
    <row r="15" ht="15.75" customHeight="1">
      <c r="B15" t="str">
        <v>MALE</v>
      </c>
    </row>
    <row r="16" ht="15.75" customHeight="1">
      <c r="B16">
        <v>1</v>
      </c>
      <c r="C16" t="str">
        <f>IF('INPUT DATA'!L11="","",'INPUT DATA'!L11)</f>
        <v/>
      </c>
      <c r="F16" t="str">
        <f>IF('INPUT DATA'!M11="","",'INPUT DATA'!M11)</f>
        <v/>
      </c>
      <c r="H16" s="2" t="str">
        <f>IF('INPUT DATA'!N11="","",'INPUT DATA'!N11)</f>
        <v/>
      </c>
      <c r="I16" s="3" t="str">
        <f>IF(H16="","",DATEDIF(H16,DATE(2026,6,8),"Y"))</f>
        <v/>
      </c>
      <c r="J16" s="3" t="str">
        <f>IF(H16="","",DATEDIF(H16,DATE(2026,6,8),"YM"))</f>
        <v/>
      </c>
      <c r="K16" s="3" t="str">
        <f>IF(H16="","",DATEDIF(H16,DATE(2027,4,8),"Y"))</f>
        <v/>
      </c>
      <c r="L16" s="3" t="str">
        <f>IF(H16="","",DATEDIF(H16,DATE(2027,4,8),"YM"))</f>
        <v/>
      </c>
      <c r="M16" t="str">
        <v>M</v>
      </c>
    </row>
    <row r="17" ht="15.75" customHeight="1">
      <c r="B17">
        <v>2</v>
      </c>
      <c r="C17" t="str">
        <f>IF('INPUT DATA'!L12="","",'INPUT DATA'!L12)</f>
        <v/>
      </c>
      <c r="F17" t="str">
        <f>IF('INPUT DATA'!M12="","",'INPUT DATA'!M12)</f>
        <v/>
      </c>
      <c r="H17" s="2" t="str">
        <f>IF('INPUT DATA'!N12="","",'INPUT DATA'!N12)</f>
        <v/>
      </c>
      <c r="I17" s="3" t="str">
        <f>IF(H17="","",DATEDIF(H17,DATE(2026,6,8),"Y"))</f>
        <v/>
      </c>
      <c r="J17" s="3" t="str">
        <f>IF(H17="","",DATEDIF(H17,DATE(2026,6,8),"YM"))</f>
        <v/>
      </c>
      <c r="K17" s="3" t="str">
        <f>IF(H17="","",DATEDIF(H17,DATE(2027,4,8),"Y"))</f>
        <v/>
      </c>
      <c r="L17" s="3" t="str">
        <f>IF(H17="","",DATEDIF(H17,DATE(2027,4,8),"YM"))</f>
        <v/>
      </c>
      <c r="M17" t="str">
        <v>M</v>
      </c>
    </row>
    <row r="18" ht="15.75" customHeight="1">
      <c r="B18">
        <v>3</v>
      </c>
      <c r="C18" t="str">
        <f>IF('INPUT DATA'!L13="","",'INPUT DATA'!L13)</f>
        <v/>
      </c>
      <c r="F18" t="str">
        <f>IF('INPUT DATA'!M13="","",'INPUT DATA'!M13)</f>
        <v/>
      </c>
      <c r="H18" s="2" t="str">
        <f>IF('INPUT DATA'!N13="","",'INPUT DATA'!N13)</f>
        <v/>
      </c>
      <c r="I18" s="3" t="str">
        <f>IF(H18="","",DATEDIF(H18,DATE(2026,6,8),"Y"))</f>
        <v/>
      </c>
      <c r="J18" s="3" t="str">
        <f>IF(H18="","",DATEDIF(H18,DATE(2026,6,8),"YM"))</f>
        <v/>
      </c>
      <c r="K18" s="3" t="str">
        <f>IF(H18="","",DATEDIF(H18,DATE(2027,4,8),"Y"))</f>
        <v/>
      </c>
      <c r="L18" s="3" t="str">
        <f>IF(H18="","",DATEDIF(H18,DATE(2027,4,8),"YM"))</f>
        <v/>
      </c>
      <c r="M18" t="str">
        <v>M</v>
      </c>
    </row>
    <row r="19" ht="15.75" customHeight="1">
      <c r="B19">
        <v>4</v>
      </c>
      <c r="C19" t="str">
        <f>IF('INPUT DATA'!L14="","",'INPUT DATA'!L14)</f>
        <v/>
      </c>
      <c r="F19" t="str">
        <f>IF('INPUT DATA'!M14="","",'INPUT DATA'!M14)</f>
        <v/>
      </c>
      <c r="H19" s="2" t="str">
        <f>IF('INPUT DATA'!N14="","",'INPUT DATA'!N14)</f>
        <v/>
      </c>
      <c r="I19" s="3" t="str">
        <f>IF(H19="","",DATEDIF(H19,DATE(2026,6,8),"Y"))</f>
        <v/>
      </c>
      <c r="J19" s="3" t="str">
        <f>IF(H19="","",DATEDIF(H19,DATE(2026,6,8),"YM"))</f>
        <v/>
      </c>
      <c r="K19" s="3" t="str">
        <f>IF(H19="","",DATEDIF(H19,DATE(2027,4,8),"Y"))</f>
        <v/>
      </c>
      <c r="L19" s="3" t="str">
        <f>IF(H19="","",DATEDIF(H19,DATE(2027,4,8),"YM"))</f>
        <v/>
      </c>
      <c r="M19" t="str">
        <v>M</v>
      </c>
    </row>
    <row r="20" ht="15.75" customHeight="1">
      <c r="B20">
        <v>5</v>
      </c>
      <c r="C20" t="str">
        <f>IF('INPUT DATA'!L15="","",'INPUT DATA'!L15)</f>
        <v/>
      </c>
      <c r="F20" t="str">
        <f>IF('INPUT DATA'!M15="","",'INPUT DATA'!M15)</f>
        <v/>
      </c>
      <c r="H20" s="2" t="str">
        <f>IF('INPUT DATA'!N15="","",'INPUT DATA'!N15)</f>
        <v/>
      </c>
      <c r="I20" s="3" t="str">
        <f>IF(H20="","",DATEDIF(H20,DATE(2026,6,8),"Y"))</f>
        <v/>
      </c>
      <c r="J20" s="3" t="str">
        <f>IF(H20="","",DATEDIF(H20,DATE(2026,6,8),"YM"))</f>
        <v/>
      </c>
      <c r="K20" s="3" t="str">
        <f>IF(H20="","",DATEDIF(H20,DATE(2027,4,8),"Y"))</f>
        <v/>
      </c>
      <c r="L20" s="3" t="str">
        <f>IF(H20="","",DATEDIF(H20,DATE(2027,4,8),"YM"))</f>
        <v/>
      </c>
      <c r="M20" t="str">
        <v>M</v>
      </c>
    </row>
    <row r="21" ht="15.75" customHeight="1">
      <c r="B21">
        <v>6</v>
      </c>
      <c r="C21" t="str">
        <f>IF('INPUT DATA'!L16="","",'INPUT DATA'!L16)</f>
        <v/>
      </c>
      <c r="F21" t="str">
        <f>IF('INPUT DATA'!M16="","",'INPUT DATA'!M16)</f>
        <v/>
      </c>
      <c r="H21" s="2" t="str">
        <f>IF('INPUT DATA'!N16="","",'INPUT DATA'!N16)</f>
        <v/>
      </c>
      <c r="I21" s="3" t="str">
        <f>IF(H21="","",DATEDIF(H21,DATE(2026,6,8),"Y"))</f>
        <v/>
      </c>
      <c r="J21" s="3" t="str">
        <f>IF(H21="","",DATEDIF(H21,DATE(2026,6,8),"YM"))</f>
        <v/>
      </c>
      <c r="K21" s="3" t="str">
        <f>IF(H21="","",DATEDIF(H21,DATE(2027,4,8),"Y"))</f>
        <v/>
      </c>
      <c r="L21" s="3" t="str">
        <f>IF(H21="","",DATEDIF(H21,DATE(2027,4,8),"YM"))</f>
        <v/>
      </c>
      <c r="M21" t="str">
        <v>M</v>
      </c>
    </row>
    <row r="22" ht="15.75" customHeight="1">
      <c r="B22">
        <v>7</v>
      </c>
      <c r="C22" t="str">
        <f>IF('INPUT DATA'!L17="","",'INPUT DATA'!L17)</f>
        <v/>
      </c>
      <c r="F22" t="str">
        <f>IF('INPUT DATA'!M17="","",'INPUT DATA'!M17)</f>
        <v/>
      </c>
      <c r="H22" s="2" t="str">
        <f>IF('INPUT DATA'!N17="","",'INPUT DATA'!N17)</f>
        <v/>
      </c>
      <c r="I22" s="3" t="str">
        <f>IF(H22="","",DATEDIF(H22,DATE(2026,6,8),"Y"))</f>
        <v/>
      </c>
      <c r="J22" s="3" t="str">
        <f>IF(H22="","",DATEDIF(H22,DATE(2026,6,8),"YM"))</f>
        <v/>
      </c>
      <c r="K22" s="3" t="str">
        <f>IF(H22="","",DATEDIF(H22,DATE(2027,4,8),"Y"))</f>
        <v/>
      </c>
      <c r="L22" s="3" t="str">
        <f>IF(H22="","",DATEDIF(H22,DATE(2027,4,8),"YM"))</f>
        <v/>
      </c>
      <c r="M22" t="str">
        <v>M</v>
      </c>
    </row>
    <row r="23" ht="15.75" customHeight="1">
      <c r="B23">
        <v>8</v>
      </c>
      <c r="C23" t="str">
        <f>IF('INPUT DATA'!L18="","",'INPUT DATA'!L18)</f>
        <v/>
      </c>
      <c r="F23" t="str">
        <f>IF('INPUT DATA'!M18="","",'INPUT DATA'!M18)</f>
        <v/>
      </c>
      <c r="H23" s="2" t="str">
        <f>IF('INPUT DATA'!N18="","",'INPUT DATA'!N18)</f>
        <v/>
      </c>
      <c r="I23" s="3" t="str">
        <f>IF(H23="","",DATEDIF(H23,DATE(2026,6,8),"Y"))</f>
        <v/>
      </c>
      <c r="J23" s="3" t="str">
        <f>IF(H23="","",DATEDIF(H23,DATE(2026,6,8),"YM"))</f>
        <v/>
      </c>
      <c r="K23" s="3" t="str">
        <f>IF(H23="","",DATEDIF(H23,DATE(2027,4,8),"Y"))</f>
        <v/>
      </c>
      <c r="L23" s="3" t="str">
        <f>IF(H23="","",DATEDIF(H23,DATE(2027,4,8),"YM"))</f>
        <v/>
      </c>
      <c r="M23" t="str">
        <v>M</v>
      </c>
    </row>
    <row r="24" ht="15.75" customHeight="1">
      <c r="B24">
        <v>9</v>
      </c>
      <c r="C24" t="str">
        <f>IF('INPUT DATA'!L19="","",'INPUT DATA'!L19)</f>
        <v/>
      </c>
      <c r="F24" t="str">
        <f>IF('INPUT DATA'!M19="","",'INPUT DATA'!M19)</f>
        <v/>
      </c>
      <c r="H24" s="2" t="str">
        <f>IF('INPUT DATA'!N19="","",'INPUT DATA'!N19)</f>
        <v/>
      </c>
      <c r="I24" s="3" t="str">
        <f>IF(H24="","",DATEDIF(H24,DATE(2026,6,8),"Y"))</f>
        <v/>
      </c>
      <c r="J24" s="3" t="str">
        <f>IF(H24="","",DATEDIF(H24,DATE(2026,6,8),"YM"))</f>
        <v/>
      </c>
      <c r="K24" s="3" t="str">
        <f>IF(H24="","",DATEDIF(H24,DATE(2027,4,8),"Y"))</f>
        <v/>
      </c>
      <c r="L24" s="3" t="str">
        <f>IF(H24="","",DATEDIF(H24,DATE(2027,4,8),"YM"))</f>
        <v/>
      </c>
      <c r="M24" t="str">
        <v>M</v>
      </c>
    </row>
    <row r="25" ht="15.75" customHeight="1">
      <c r="B25">
        <v>10</v>
      </c>
      <c r="C25" t="str">
        <f>IF('INPUT DATA'!L20="","",'INPUT DATA'!L20)</f>
        <v/>
      </c>
      <c r="F25" t="str">
        <f>IF('INPUT DATA'!M20="","",'INPUT DATA'!M20)</f>
        <v/>
      </c>
      <c r="H25" s="2" t="str">
        <f>IF('INPUT DATA'!N20="","",'INPUT DATA'!N20)</f>
        <v/>
      </c>
      <c r="I25" s="3" t="str">
        <f>IF(H25="","",DATEDIF(H25,DATE(2026,6,8),"Y"))</f>
        <v/>
      </c>
      <c r="J25" s="3" t="str">
        <f>IF(H25="","",DATEDIF(H25,DATE(2026,6,8),"YM"))</f>
        <v/>
      </c>
      <c r="K25" s="3" t="str">
        <f>IF(H25="","",DATEDIF(H25,DATE(2027,4,8),"Y"))</f>
        <v/>
      </c>
      <c r="L25" s="3" t="str">
        <f>IF(H25="","",DATEDIF(H25,DATE(2027,4,8),"YM"))</f>
        <v/>
      </c>
      <c r="M25" t="str">
        <v>M</v>
      </c>
    </row>
    <row r="26" ht="15.75" customHeight="1">
      <c r="B26">
        <v>11</v>
      </c>
      <c r="C26" t="str">
        <f>IF('INPUT DATA'!L21="","",'INPUT DATA'!L21)</f>
        <v/>
      </c>
      <c r="F26" t="str">
        <f>IF('INPUT DATA'!M21="","",'INPUT DATA'!M21)</f>
        <v/>
      </c>
      <c r="H26" s="2" t="str">
        <f>IF('INPUT DATA'!N21="","",'INPUT DATA'!N21)</f>
        <v/>
      </c>
      <c r="I26" s="3" t="str">
        <f>IF(H26="","",DATEDIF(H26,DATE(2026,6,8),"Y"))</f>
        <v/>
      </c>
      <c r="J26" s="3" t="str">
        <f>IF(H26="","",DATEDIF(H26,DATE(2026,6,8),"YM"))</f>
        <v/>
      </c>
      <c r="K26" s="3" t="str">
        <f>IF(H26="","",DATEDIF(H26,DATE(2027,4,8),"Y"))</f>
        <v/>
      </c>
      <c r="L26" s="3" t="str">
        <f>IF(H26="","",DATEDIF(H26,DATE(2027,4,8),"YM"))</f>
        <v/>
      </c>
      <c r="M26" t="str">
        <v>M</v>
      </c>
    </row>
    <row r="27" ht="15.75" customHeight="1">
      <c r="B27">
        <v>12</v>
      </c>
      <c r="C27" t="str">
        <f>IF('INPUT DATA'!L22="","",'INPUT DATA'!L22)</f>
        <v/>
      </c>
      <c r="F27" t="str">
        <f>IF('INPUT DATA'!M22="","",'INPUT DATA'!M22)</f>
        <v/>
      </c>
      <c r="H27" s="2" t="str">
        <f>IF('INPUT DATA'!N22="","",'INPUT DATA'!N22)</f>
        <v/>
      </c>
      <c r="I27" s="3" t="str">
        <f>IF(H27="","",DATEDIF(H27,DATE(2026,6,8),"Y"))</f>
        <v/>
      </c>
      <c r="J27" s="3" t="str">
        <f>IF(H27="","",DATEDIF(H27,DATE(2026,6,8),"YM"))</f>
        <v/>
      </c>
      <c r="K27" s="3" t="str">
        <f>IF(H27="","",DATEDIF(H27,DATE(2027,4,8),"Y"))</f>
        <v/>
      </c>
      <c r="L27" s="3" t="str">
        <f>IF(H27="","",DATEDIF(H27,DATE(2027,4,8),"YM"))</f>
        <v/>
      </c>
      <c r="M27" t="str">
        <v>M</v>
      </c>
    </row>
    <row r="28" ht="15.75" customHeight="1">
      <c r="B28">
        <v>13</v>
      </c>
      <c r="C28" t="str">
        <f>IF('INPUT DATA'!L23="","",'INPUT DATA'!L23)</f>
        <v/>
      </c>
      <c r="F28" t="str">
        <f>IF('INPUT DATA'!M23="","",'INPUT DATA'!M23)</f>
        <v/>
      </c>
      <c r="H28" s="2" t="str">
        <f>IF('INPUT DATA'!N23="","",'INPUT DATA'!N23)</f>
        <v/>
      </c>
      <c r="I28" s="3" t="str">
        <f>IF(H28="","",DATEDIF(H28,DATE(2026,6,8),"Y"))</f>
        <v/>
      </c>
      <c r="J28" s="3" t="str">
        <f>IF(H28="","",DATEDIF(H28,DATE(2026,6,8),"YM"))</f>
        <v/>
      </c>
      <c r="K28" s="3" t="str">
        <f>IF(H28="","",DATEDIF(H28,DATE(2027,4,8),"Y"))</f>
        <v/>
      </c>
      <c r="L28" s="3" t="str">
        <f>IF(H28="","",DATEDIF(H28,DATE(2027,4,8),"YM"))</f>
        <v/>
      </c>
      <c r="M28" t="str">
        <v>M</v>
      </c>
    </row>
    <row r="29" ht="15.75" customHeight="1">
      <c r="B29">
        <v>14</v>
      </c>
      <c r="C29" t="str">
        <f>IF('INPUT DATA'!L24="","",'INPUT DATA'!L24)</f>
        <v/>
      </c>
      <c r="F29" t="str">
        <f>IF('INPUT DATA'!M24="","",'INPUT DATA'!M24)</f>
        <v/>
      </c>
      <c r="H29" s="2" t="str">
        <f>IF('INPUT DATA'!N24="","",'INPUT DATA'!N24)</f>
        <v/>
      </c>
      <c r="I29" s="3" t="str">
        <f>IF(H29="","",DATEDIF(H29,DATE(2026,6,8),"Y"))</f>
        <v/>
      </c>
      <c r="J29" s="3" t="str">
        <f>IF(H29="","",DATEDIF(H29,DATE(2026,6,8),"YM"))</f>
        <v/>
      </c>
      <c r="K29" s="3" t="str">
        <f>IF(H29="","",DATEDIF(H29,DATE(2027,4,8),"Y"))</f>
        <v/>
      </c>
      <c r="L29" s="3" t="str">
        <f>IF(H29="","",DATEDIF(H29,DATE(2027,4,8),"YM"))</f>
        <v/>
      </c>
      <c r="M29" t="str">
        <v>M</v>
      </c>
    </row>
    <row r="30" ht="15.75" customHeight="1">
      <c r="B30">
        <v>15</v>
      </c>
      <c r="C30" t="str">
        <f>IF('INPUT DATA'!L25="","",'INPUT DATA'!L25)</f>
        <v/>
      </c>
      <c r="F30" t="str">
        <f>IF('INPUT DATA'!M25="","",'INPUT DATA'!M25)</f>
        <v/>
      </c>
      <c r="H30" s="2" t="str">
        <f>IF('INPUT DATA'!N25="","",'INPUT DATA'!N25)</f>
        <v/>
      </c>
      <c r="I30" s="3" t="str">
        <f>IF(H30="","",DATEDIF(H30,DATE(2026,6,8),"Y"))</f>
        <v/>
      </c>
      <c r="J30" s="3" t="str">
        <f>IF(H30="","",DATEDIF(H30,DATE(2026,6,8),"YM"))</f>
        <v/>
      </c>
      <c r="K30" s="3" t="str">
        <f>IF(H30="","",DATEDIF(H30,DATE(2027,4,8),"Y"))</f>
        <v/>
      </c>
      <c r="L30" s="3" t="str">
        <f>IF(H30="","",DATEDIF(H30,DATE(2027,4,8),"YM"))</f>
        <v/>
      </c>
      <c r="M30" t="str">
        <v>M</v>
      </c>
    </row>
    <row r="31" ht="15.75" customHeight="1">
      <c r="B31">
        <v>16</v>
      </c>
      <c r="C31" t="str">
        <f>IF('INPUT DATA'!L26="","",'INPUT DATA'!L26)</f>
        <v/>
      </c>
      <c r="F31" t="str">
        <f>IF('INPUT DATA'!M26="","",'INPUT DATA'!M26)</f>
        <v/>
      </c>
      <c r="H31" s="2" t="str">
        <f>IF('INPUT DATA'!N26="","",'INPUT DATA'!N26)</f>
        <v/>
      </c>
      <c r="I31" s="3" t="str">
        <f>IF(H31="","",DATEDIF(H31,DATE(2026,6,8),"Y"))</f>
        <v/>
      </c>
      <c r="J31" s="3" t="str">
        <f>IF(H31="","",DATEDIF(H31,DATE(2026,6,8),"YM"))</f>
        <v/>
      </c>
      <c r="K31" s="3" t="str">
        <f>IF(H31="","",DATEDIF(H31,DATE(2027,4,8),"Y"))</f>
        <v/>
      </c>
      <c r="L31" s="3" t="str">
        <f>IF(H31="","",DATEDIF(H31,DATE(2027,4,8),"YM"))</f>
        <v/>
      </c>
      <c r="M31" t="str">
        <v>M</v>
      </c>
    </row>
    <row r="32" ht="15.75" customHeight="1">
      <c r="B32">
        <v>17</v>
      </c>
      <c r="C32" t="str">
        <f>IF('INPUT DATA'!L27="","",'INPUT DATA'!L27)</f>
        <v/>
      </c>
      <c r="F32" t="str">
        <f>IF('INPUT DATA'!M27="","",'INPUT DATA'!M27)</f>
        <v/>
      </c>
      <c r="H32" s="2" t="str">
        <f>IF('INPUT DATA'!N27="","",'INPUT DATA'!N27)</f>
        <v/>
      </c>
      <c r="I32" s="3" t="str">
        <f>IF(H32="","",DATEDIF(H32,DATE(2026,6,8),"Y"))</f>
        <v/>
      </c>
      <c r="J32" s="3" t="str">
        <f>IF(H32="","",DATEDIF(H32,DATE(2026,6,8),"YM"))</f>
        <v/>
      </c>
      <c r="K32" s="3" t="str">
        <f>IF(H32="","",DATEDIF(H32,DATE(2027,4,8),"Y"))</f>
        <v/>
      </c>
      <c r="L32" s="3" t="str">
        <f>IF(H32="","",DATEDIF(H32,DATE(2027,4,8),"YM"))</f>
        <v/>
      </c>
      <c r="M32" t="str">
        <v>M</v>
      </c>
    </row>
    <row r="33" ht="15.75" customHeight="1">
      <c r="B33">
        <v>18</v>
      </c>
      <c r="C33" t="str">
        <f>IF('INPUT DATA'!L28="","",'INPUT DATA'!L28)</f>
        <v/>
      </c>
      <c r="F33" t="str">
        <f>IF('INPUT DATA'!M28="","",'INPUT DATA'!M28)</f>
        <v/>
      </c>
      <c r="H33" s="2" t="str">
        <f>IF('INPUT DATA'!N28="","",'INPUT DATA'!N28)</f>
        <v/>
      </c>
      <c r="I33" s="3" t="str">
        <f>IF(H33="","",DATEDIF(H33,DATE(2026,6,8),"Y"))</f>
        <v/>
      </c>
      <c r="J33" s="3" t="str">
        <f>IF(H33="","",DATEDIF(H33,DATE(2026,6,8),"YM"))</f>
        <v/>
      </c>
      <c r="K33" s="3" t="str">
        <f>IF(H33="","",DATEDIF(H33,DATE(2027,4,8),"Y"))</f>
        <v/>
      </c>
      <c r="L33" s="3" t="str">
        <f>IF(H33="","",DATEDIF(H33,DATE(2027,4,8),"YM"))</f>
        <v/>
      </c>
      <c r="M33" t="str">
        <v>M</v>
      </c>
    </row>
    <row r="34" ht="15.75" customHeight="1">
      <c r="B34">
        <v>19</v>
      </c>
      <c r="C34" t="str">
        <f>IF('INPUT DATA'!L29="","",'INPUT DATA'!L29)</f>
        <v/>
      </c>
      <c r="F34" t="str">
        <f>IF('INPUT DATA'!M29="","",'INPUT DATA'!M29)</f>
        <v/>
      </c>
      <c r="H34" s="2" t="str">
        <f>IF('INPUT DATA'!N29="","",'INPUT DATA'!N29)</f>
        <v/>
      </c>
      <c r="I34" s="3" t="str">
        <f>IF(H34="","",DATEDIF(H34,DATE(2026,6,8),"Y"))</f>
        <v/>
      </c>
      <c r="J34" s="3" t="str">
        <f>IF(H34="","",DATEDIF(H34,DATE(2026,6,8),"YM"))</f>
        <v/>
      </c>
      <c r="K34" s="3" t="str">
        <f>IF(H34="","",DATEDIF(H34,DATE(2027,4,8),"Y"))</f>
        <v/>
      </c>
      <c r="L34" s="3" t="str">
        <f>IF(H34="","",DATEDIF(H34,DATE(2027,4,8),"YM"))</f>
        <v/>
      </c>
      <c r="M34" t="str">
        <v>M</v>
      </c>
    </row>
    <row r="35" ht="15.75" customHeight="1">
      <c r="B35">
        <v>20</v>
      </c>
      <c r="C35" t="str">
        <f>IF('INPUT DATA'!L30="","",'INPUT DATA'!L30)</f>
        <v/>
      </c>
      <c r="F35" t="str">
        <f>IF('INPUT DATA'!M30="","",'INPUT DATA'!M30)</f>
        <v/>
      </c>
      <c r="H35" s="2" t="str">
        <f>IF('INPUT DATA'!N30="","",'INPUT DATA'!N30)</f>
        <v/>
      </c>
      <c r="I35" s="3" t="str">
        <f>IF(H35="","",DATEDIF(H35,DATE(2026,6,8),"Y"))</f>
        <v/>
      </c>
      <c r="J35" s="3" t="str">
        <f>IF(H35="","",DATEDIF(H35,DATE(2026,6,8),"YM"))</f>
        <v/>
      </c>
      <c r="K35" s="3" t="str">
        <f>IF(H35="","",DATEDIF(H35,DATE(2027,4,8),"Y"))</f>
        <v/>
      </c>
      <c r="L35" s="3" t="str">
        <f>IF(H35="","",DATEDIF(H35,DATE(2027,4,8),"YM"))</f>
        <v/>
      </c>
      <c r="M35" t="str">
        <v>M</v>
      </c>
    </row>
    <row r="36" ht="15.75" customHeight="1">
      <c r="B36">
        <v>21</v>
      </c>
      <c r="C36" t="str">
        <f>IF('INPUT DATA'!L31="","",'INPUT DATA'!L31)</f>
        <v/>
      </c>
      <c r="F36" t="str">
        <f>IF('INPUT DATA'!M31="","",'INPUT DATA'!M31)</f>
        <v/>
      </c>
      <c r="H36" s="2" t="str">
        <f>IF('INPUT DATA'!N31="","",'INPUT DATA'!N31)</f>
        <v/>
      </c>
      <c r="I36" s="3" t="str">
        <f>IF(H36="","",DATEDIF(H36,DATE(2026,6,8),"Y"))</f>
        <v/>
      </c>
      <c r="J36" s="3" t="str">
        <f>IF(H36="","",DATEDIF(H36,DATE(2026,6,8),"YM"))</f>
        <v/>
      </c>
      <c r="K36" s="3" t="str">
        <f>IF(H36="","",DATEDIF(H36,DATE(2027,4,8),"Y"))</f>
        <v/>
      </c>
      <c r="L36" s="3" t="str">
        <f>IF(H36="","",DATEDIF(H36,DATE(2027,4,8),"YM"))</f>
        <v/>
      </c>
      <c r="M36" t="str">
        <v>M</v>
      </c>
    </row>
    <row r="37" ht="15.75" customHeight="1">
      <c r="B37">
        <v>22</v>
      </c>
      <c r="C37" t="str">
        <f>IF('INPUT DATA'!L32="","",'INPUT DATA'!L32)</f>
        <v/>
      </c>
      <c r="F37" t="str">
        <f>IF('INPUT DATA'!M32="","",'INPUT DATA'!M32)</f>
        <v/>
      </c>
      <c r="H37" s="2" t="str">
        <f>IF('INPUT DATA'!N32="","",'INPUT DATA'!N32)</f>
        <v/>
      </c>
      <c r="I37" s="3" t="str">
        <f>IF(H37="","",DATEDIF(H37,DATE(2026,6,8),"Y"))</f>
        <v/>
      </c>
      <c r="J37" s="3" t="str">
        <f>IF(H37="","",DATEDIF(H37,DATE(2026,6,8),"YM"))</f>
        <v/>
      </c>
      <c r="K37" s="3" t="str">
        <f>IF(H37="","",DATEDIF(H37,DATE(2027,4,8),"Y"))</f>
        <v/>
      </c>
      <c r="L37" s="3" t="str">
        <f>IF(H37="","",DATEDIF(H37,DATE(2027,4,8),"YM"))</f>
        <v/>
      </c>
      <c r="M37" t="str">
        <v>M</v>
      </c>
    </row>
    <row r="38" ht="15.75" customHeight="1">
      <c r="B38">
        <v>23</v>
      </c>
      <c r="C38" t="str">
        <f>IF('INPUT DATA'!L33="","",'INPUT DATA'!L33)</f>
        <v/>
      </c>
      <c r="F38" t="str">
        <f>IF('INPUT DATA'!M33="","",'INPUT DATA'!M33)</f>
        <v/>
      </c>
      <c r="H38" s="2" t="str">
        <f>IF('INPUT DATA'!N33="","",'INPUT DATA'!N33)</f>
        <v/>
      </c>
      <c r="I38" s="3" t="str">
        <f>IF(H38="","",DATEDIF(H38,DATE(2026,6,8),"Y"))</f>
        <v/>
      </c>
      <c r="J38" s="3" t="str">
        <f>IF(H38="","",DATEDIF(H38,DATE(2026,6,8),"YM"))</f>
        <v/>
      </c>
      <c r="K38" s="3" t="str">
        <f>IF(H38="","",DATEDIF(H38,DATE(2027,4,8),"Y"))</f>
        <v/>
      </c>
      <c r="L38" s="3" t="str">
        <f>IF(H38="","",DATEDIF(H38,DATE(2027,4,8),"YM"))</f>
        <v/>
      </c>
      <c r="M38" t="str">
        <v>M</v>
      </c>
    </row>
    <row r="39" ht="15.75" customHeight="1">
      <c r="B39">
        <v>24</v>
      </c>
      <c r="C39" t="str">
        <f>IF('INPUT DATA'!L34="","",'INPUT DATA'!L34)</f>
        <v/>
      </c>
      <c r="F39" t="str">
        <f>IF('INPUT DATA'!M34="","",'INPUT DATA'!M34)</f>
        <v/>
      </c>
      <c r="H39" s="2" t="str">
        <f>IF('INPUT DATA'!N34="","",'INPUT DATA'!N34)</f>
        <v/>
      </c>
      <c r="I39" s="3" t="str">
        <f>IF(H39="","",DATEDIF(H39,DATE(2026,6,8),"Y"))</f>
        <v/>
      </c>
      <c r="J39" s="3" t="str">
        <f>IF(H39="","",DATEDIF(H39,DATE(2026,6,8),"YM"))</f>
        <v/>
      </c>
      <c r="K39" s="3" t="str">
        <f>IF(H39="","",DATEDIF(H39,DATE(2027,4,8),"Y"))</f>
        <v/>
      </c>
      <c r="L39" s="3" t="str">
        <f>IF(H39="","",DATEDIF(H39,DATE(2027,4,8),"YM"))</f>
        <v/>
      </c>
      <c r="M39" t="str">
        <v>M</v>
      </c>
    </row>
    <row r="40" ht="15.75" customHeight="1">
      <c r="B40">
        <v>25</v>
      </c>
      <c r="C40" t="str">
        <f>IF('INPUT DATA'!L35="","",'INPUT DATA'!L35)</f>
        <v/>
      </c>
      <c r="F40" t="str">
        <f>IF('INPUT DATA'!M35="","",'INPUT DATA'!M35)</f>
        <v/>
      </c>
      <c r="H40" s="2" t="str">
        <f>IF('INPUT DATA'!N35="","",'INPUT DATA'!N35)</f>
        <v/>
      </c>
      <c r="I40" s="3" t="str">
        <f>IF(H40="","",DATEDIF(H40,DATE(2026,6,8),"Y"))</f>
        <v/>
      </c>
      <c r="J40" s="3" t="str">
        <f>IF(H40="","",DATEDIF(H40,DATE(2026,6,8),"YM"))</f>
        <v/>
      </c>
      <c r="K40" s="3" t="str">
        <f>IF(H40="","",DATEDIF(H40,DATE(2027,4,8),"Y"))</f>
        <v/>
      </c>
      <c r="L40" s="3" t="str">
        <f>IF(H40="","",DATEDIF(H40,DATE(2027,4,8),"YM"))</f>
        <v/>
      </c>
      <c r="M40" t="str">
        <v>M</v>
      </c>
    </row>
    <row r="41" ht="15.75" customHeight="1">
      <c r="B41">
        <v>26</v>
      </c>
      <c r="C41" t="str">
        <f>IF('INPUT DATA'!L36="","",'INPUT DATA'!L36)</f>
        <v/>
      </c>
      <c r="F41" t="str">
        <f>IF('INPUT DATA'!M36="","",'INPUT DATA'!M36)</f>
        <v/>
      </c>
      <c r="H41" s="2" t="str">
        <f>IF('INPUT DATA'!N36="","",'INPUT DATA'!N36)</f>
        <v/>
      </c>
      <c r="I41" s="3" t="str">
        <f>IF(H41="","",DATEDIF(H41,DATE(2026,6,8),"Y"))</f>
        <v/>
      </c>
      <c r="J41" s="3" t="str">
        <f>IF(H41="","",DATEDIF(H41,DATE(2026,6,8),"YM"))</f>
        <v/>
      </c>
      <c r="K41" s="3" t="str">
        <f>IF(H41="","",DATEDIF(H41,DATE(2027,4,8),"Y"))</f>
        <v/>
      </c>
      <c r="L41" s="3" t="str">
        <f>IF(H41="","",DATEDIF(H41,DATE(2027,4,8),"YM"))</f>
        <v/>
      </c>
      <c r="M41" t="str">
        <v>M</v>
      </c>
    </row>
    <row r="42" ht="15.75" customHeight="1">
      <c r="B42">
        <v>27</v>
      </c>
      <c r="C42" t="str">
        <f>IF('INPUT DATA'!L37="","",'INPUT DATA'!L37)</f>
        <v/>
      </c>
      <c r="F42" t="str">
        <f>IF('INPUT DATA'!M37="","",'INPUT DATA'!M37)</f>
        <v/>
      </c>
      <c r="H42" s="2" t="str">
        <f>IF('INPUT DATA'!N37="","",'INPUT DATA'!N37)</f>
        <v/>
      </c>
      <c r="I42" s="3" t="str">
        <f>IF(H42="","",DATEDIF(H42,DATE(2026,6,8),"Y"))</f>
        <v/>
      </c>
      <c r="J42" s="3" t="str">
        <f>IF(H42="","",DATEDIF(H42,DATE(2026,6,8),"YM"))</f>
        <v/>
      </c>
      <c r="K42" s="3" t="str">
        <f>IF(H42="","",DATEDIF(H42,DATE(2027,4,8),"Y"))</f>
        <v/>
      </c>
      <c r="L42" s="3" t="str">
        <f>IF(H42="","",DATEDIF(H42,DATE(2027,4,8),"YM"))</f>
        <v/>
      </c>
      <c r="M42" t="str">
        <v>M</v>
      </c>
    </row>
    <row r="43" ht="15.75" customHeight="1">
      <c r="B43">
        <v>28</v>
      </c>
      <c r="C43" t="str">
        <f>IF('INPUT DATA'!L38="","",'INPUT DATA'!L38)</f>
        <v/>
      </c>
      <c r="F43" t="str">
        <f>IF('INPUT DATA'!M38="","",'INPUT DATA'!M38)</f>
        <v/>
      </c>
      <c r="H43" s="2" t="str">
        <f>IF('INPUT DATA'!N38="","",'INPUT DATA'!N38)</f>
        <v/>
      </c>
      <c r="I43" s="3" t="str">
        <f>IF(H43="","",DATEDIF(H43,DATE(2026,6,8),"Y"))</f>
        <v/>
      </c>
      <c r="J43" s="3" t="str">
        <f>IF(H43="","",DATEDIF(H43,DATE(2026,6,8),"YM"))</f>
        <v/>
      </c>
      <c r="K43" s="3" t="str">
        <f>IF(H43="","",DATEDIF(H43,DATE(2027,4,8),"Y"))</f>
        <v/>
      </c>
      <c r="L43" s="3" t="str">
        <f>IF(H43="","",DATEDIF(H43,DATE(2027,4,8),"YM"))</f>
        <v/>
      </c>
      <c r="M43" t="str">
        <v>M</v>
      </c>
    </row>
    <row r="44" ht="15.75" customHeight="1">
      <c r="B44">
        <v>29</v>
      </c>
      <c r="C44" t="str">
        <f>IF('INPUT DATA'!L39="","",'INPUT DATA'!L39)</f>
        <v/>
      </c>
      <c r="F44" t="str">
        <f>IF('INPUT DATA'!M39="","",'INPUT DATA'!M39)</f>
        <v/>
      </c>
      <c r="H44" s="2" t="str">
        <f>IF('INPUT DATA'!N39="","",'INPUT DATA'!N39)</f>
        <v/>
      </c>
      <c r="I44" s="3" t="str">
        <f>IF(H44="","",DATEDIF(H44,DATE(2026,6,8),"Y"))</f>
        <v/>
      </c>
      <c r="J44" s="3" t="str">
        <f>IF(H44="","",DATEDIF(H44,DATE(2026,6,8),"YM"))</f>
        <v/>
      </c>
      <c r="K44" s="3" t="str">
        <f>IF(H44="","",DATEDIF(H44,DATE(2027,4,8),"Y"))</f>
        <v/>
      </c>
      <c r="L44" s="3" t="str">
        <f>IF(H44="","",DATEDIF(H44,DATE(2027,4,8),"YM"))</f>
        <v/>
      </c>
      <c r="M44" t="str">
        <v>M</v>
      </c>
    </row>
    <row r="45" ht="15.75" customHeight="1">
      <c r="B45">
        <v>31</v>
      </c>
      <c r="C45" t="str">
        <f>IF('INPUT DATA'!L40="","",'INPUT DATA'!L40)</f>
        <v/>
      </c>
      <c r="F45" t="str">
        <f>IF('INPUT DATA'!M40="","",'INPUT DATA'!M40)</f>
        <v/>
      </c>
      <c r="H45" s="2" t="str">
        <f>IF('INPUT DATA'!N40="","",'INPUT DATA'!N40)</f>
        <v/>
      </c>
      <c r="I45" s="3" t="str">
        <f>IF(H45="","",DATEDIF(H45,DATE(2026,6,8),"Y"))</f>
        <v/>
      </c>
      <c r="J45" s="3" t="str">
        <f>IF(H45="","",DATEDIF(H45,DATE(2026,6,8),"YM"))</f>
        <v/>
      </c>
      <c r="K45" s="3" t="str">
        <f>IF(H45="","",DATEDIF(H45,DATE(2027,4,8),"Y"))</f>
        <v/>
      </c>
      <c r="L45" s="3" t="str">
        <f>IF(H45="","",DATEDIF(H45,DATE(2027,4,8),"YM"))</f>
        <v/>
      </c>
      <c r="M45" t="str">
        <v>M</v>
      </c>
    </row>
    <row r="46" ht="15.75" customHeight="1">
      <c r="B46">
        <v>32</v>
      </c>
      <c r="C46" t="str">
        <f>IF('INPUT DATA'!L41="","",'INPUT DATA'!L41)</f>
        <v/>
      </c>
      <c r="F46" t="str">
        <f>IF('INPUT DATA'!M41="","",'INPUT DATA'!M41)</f>
        <v/>
      </c>
      <c r="H46" s="2" t="str">
        <f>IF('INPUT DATA'!N41="","",'INPUT DATA'!N41)</f>
        <v/>
      </c>
      <c r="I46" s="3" t="str">
        <f>IF(H46="","",DATEDIF(H46,DATE(2026,6,8),"Y"))</f>
        <v/>
      </c>
      <c r="J46" s="3" t="str">
        <f>IF(H46="","",DATEDIF(H46,DATE(2026,6,8),"YM"))</f>
        <v/>
      </c>
      <c r="K46" s="3" t="str">
        <f>IF(H46="","",DATEDIF(H46,DATE(2027,4,8),"Y"))</f>
        <v/>
      </c>
      <c r="L46" s="3" t="str">
        <f>IF(H46="","",DATEDIF(H46,DATE(2027,4,8),"YM"))</f>
        <v/>
      </c>
      <c r="M46" t="str">
        <v>M</v>
      </c>
    </row>
    <row r="47" ht="15.75" customHeight="1">
      <c r="B47">
        <v>33</v>
      </c>
      <c r="C47" t="str">
        <f>IF('INPUT DATA'!L42="","",'INPUT DATA'!L42)</f>
        <v/>
      </c>
      <c r="F47" t="str">
        <f>IF('INPUT DATA'!M42="","",'INPUT DATA'!M42)</f>
        <v/>
      </c>
      <c r="H47" s="2" t="str">
        <f>IF('INPUT DATA'!N42="","",'INPUT DATA'!N42)</f>
        <v/>
      </c>
      <c r="I47" s="3" t="str">
        <f>IF(H47="","",DATEDIF(H47,DATE(2026,6,8),"Y"))</f>
        <v/>
      </c>
      <c r="J47" s="3" t="str">
        <f>IF(H47="","",DATEDIF(H47,DATE(2026,6,8),"YM"))</f>
        <v/>
      </c>
      <c r="K47" s="3" t="str">
        <f>IF(H47="","",DATEDIF(H47,DATE(2027,4,8),"Y"))</f>
        <v/>
      </c>
      <c r="L47" s="3" t="str">
        <f>IF(H47="","",DATEDIF(H47,DATE(2027,4,8),"YM"))</f>
        <v/>
      </c>
      <c r="M47" t="str">
        <v>M</v>
      </c>
    </row>
    <row r="48" ht="15.75" customHeight="1">
      <c r="B48">
        <v>34</v>
      </c>
      <c r="C48" t="str">
        <f>IF('INPUT DATA'!L43="","",'INPUT DATA'!L43)</f>
        <v/>
      </c>
      <c r="F48" t="str">
        <f>IF('INPUT DATA'!M43="","",'INPUT DATA'!M43)</f>
        <v/>
      </c>
      <c r="H48" s="2" t="str">
        <f>IF('INPUT DATA'!N43="","",'INPUT DATA'!N43)</f>
        <v/>
      </c>
      <c r="I48" s="3" t="str">
        <f>IF(H48="","",DATEDIF(H48,DATE(2026,6,8),"Y"))</f>
        <v/>
      </c>
      <c r="J48" s="3" t="str">
        <f>IF(H48="","",DATEDIF(H48,DATE(2026,6,8),"YM"))</f>
        <v/>
      </c>
      <c r="K48" s="3" t="str">
        <f>IF(H48="","",DATEDIF(H48,DATE(2027,4,8),"Y"))</f>
        <v/>
      </c>
      <c r="L48" s="3" t="str">
        <f>IF(H48="","",DATEDIF(H48,DATE(2027,4,8),"YM"))</f>
        <v/>
      </c>
      <c r="M48" t="str">
        <v>M</v>
      </c>
    </row>
    <row r="49" ht="15.75" customHeight="1">
      <c r="B49">
        <v>35</v>
      </c>
      <c r="C49" t="str">
        <f>IF('INPUT DATA'!L44="","",'INPUT DATA'!L44)</f>
        <v/>
      </c>
      <c r="F49" t="str">
        <f>IF('INPUT DATA'!M44="","",'INPUT DATA'!M44)</f>
        <v/>
      </c>
      <c r="H49" s="2" t="str">
        <f>IF('INPUT DATA'!N44="","",'INPUT DATA'!N44)</f>
        <v/>
      </c>
      <c r="I49" s="3" t="str">
        <f>IF(H49="","",DATEDIF(H49,DATE(2026,6,8),"Y"))</f>
        <v/>
      </c>
      <c r="J49" s="3" t="str">
        <f>IF(H49="","",DATEDIF(H49,DATE(2026,6,8),"YM"))</f>
        <v/>
      </c>
      <c r="K49" s="3" t="str">
        <f>IF(H49="","",DATEDIF(H49,DATE(2027,4,8),"Y"))</f>
        <v/>
      </c>
      <c r="L49" s="3" t="str">
        <f>IF(H49="","",DATEDIF(H49,DATE(2027,4,8),"YM"))</f>
        <v/>
      </c>
      <c r="M49" t="str">
        <v>M</v>
      </c>
    </row>
    <row r="50" ht="15.75" customHeight="1">
      <c r="B50">
        <v>36</v>
      </c>
      <c r="C50" t="str">
        <f>IF('INPUT DATA'!L45="","",'INPUT DATA'!L45)</f>
        <v/>
      </c>
      <c r="F50" t="str">
        <f>IF('INPUT DATA'!M45="","",'INPUT DATA'!M45)</f>
        <v/>
      </c>
      <c r="H50" s="2" t="str">
        <f>IF('INPUT DATA'!N45="","",'INPUT DATA'!N45)</f>
        <v/>
      </c>
      <c r="I50" s="3" t="str">
        <f>IF(H50="","",DATEDIF(H50,DATE(2026,6,8),"Y"))</f>
        <v/>
      </c>
      <c r="J50" s="3" t="str">
        <f>IF(H50="","",DATEDIF(H50,DATE(2026,6,8),"YM"))</f>
        <v/>
      </c>
      <c r="K50" s="3" t="str">
        <f>IF(H50="","",DATEDIF(H50,DATE(2027,4,8),"Y"))</f>
        <v/>
      </c>
      <c r="L50" s="3" t="str">
        <f>IF(H50="","",DATEDIF(H50,DATE(2027,4,8),"YM"))</f>
        <v/>
      </c>
      <c r="M50" t="str">
        <v>M</v>
      </c>
    </row>
    <row r="51" ht="15.75" customHeight="1">
      <c r="B51">
        <v>37</v>
      </c>
      <c r="C51" t="str">
        <f>IF('INPUT DATA'!L46="","",'INPUT DATA'!L46)</f>
        <v/>
      </c>
      <c r="F51" t="str">
        <f>IF('INPUT DATA'!M46="","",'INPUT DATA'!M46)</f>
        <v/>
      </c>
      <c r="H51" s="2" t="str">
        <f>IF('INPUT DATA'!N46="","",'INPUT DATA'!N46)</f>
        <v/>
      </c>
      <c r="I51" s="3" t="str">
        <f>IFERROR(IF(OR(H51="",H51=0),"",DATEDIF(IF(ISNUMBER(H51),H51,DATEVALUE(H51)),DATE(VALUE(LEFT('INPUT DATA'!$F$18,4)),6,1),"Y")),"")</f>
        <v/>
      </c>
      <c r="J51" s="3" t="str">
        <f>IFERROR(IF(OR(H51="",H51=0),"",DATEDIF(IF(ISNUMBER(H51),H51,DATEVALUE(H51)),DATE(VALUE(LEFT('INPUT DATA'!$F$18,4)),6,1),"YM")),"")</f>
        <v/>
      </c>
      <c r="K51" s="3" t="str">
        <f>IFERROR(IF(OR(H51="",H51=0),"",DATEDIF(IF(ISNUMBER(H51),H51,DATEVALUE(H51)),DATE(VALUE(RIGHT('INPUT DATA'!$F$18,4)),5,31),"Y")),"")</f>
        <v/>
      </c>
      <c r="L51" s="3" t="str">
        <f>IFERROR(IF(OR(H51="",H51=0),"",DATEDIF(IF(ISNUMBER(H51),H51,DATEVALUE(H51)),DATE(VALUE(RIGHT('INPUT DATA'!$F$18,4)),5,31),"YM")),"")</f>
        <v/>
      </c>
      <c r="M51" t="str">
        <v>M</v>
      </c>
    </row>
    <row r="52" ht="15.75" customHeight="1">
      <c r="B52">
        <v>38</v>
      </c>
      <c r="C52" t="str">
        <f>IF('INPUT DATA'!L47="","",'INPUT DATA'!L47)</f>
        <v/>
      </c>
      <c r="F52" t="str">
        <f>IF('INPUT DATA'!M47="","",'INPUT DATA'!M47)</f>
        <v/>
      </c>
      <c r="H52" s="2" t="str">
        <f>IF('INPUT DATA'!N47="","",'INPUT DATA'!N47)</f>
        <v/>
      </c>
      <c r="I52" s="3" t="str">
        <f>IFERROR(IF(OR(H52="",H52=0),"",DATEDIF(IF(ISNUMBER(H52),H52,DATEVALUE(H52)),DATE(VALUE(LEFT('INPUT DATA'!$F$18,4)),6,1),"Y")),"")</f>
        <v/>
      </c>
      <c r="J52" s="3" t="str">
        <f>IFERROR(IF(OR(H52="",H52=0),"",DATEDIF(IF(ISNUMBER(H52),H52,DATEVALUE(H52)),DATE(VALUE(LEFT('INPUT DATA'!$F$18,4)),6,1),"YM")),"")</f>
        <v/>
      </c>
      <c r="K52" s="3" t="str">
        <f>IFERROR(IF(OR(H52="",H52=0),"",DATEDIF(IF(ISNUMBER(H52),H52,DATEVALUE(H52)),DATE(VALUE(RIGHT('INPUT DATA'!$F$18,4)),5,31),"Y")),"")</f>
        <v/>
      </c>
      <c r="L52" s="3" t="str">
        <f>IFERROR(IF(OR(H52="",H52=0),"",DATEDIF(IF(ISNUMBER(H52),H52,DATEVALUE(H52)),DATE(VALUE(RIGHT('INPUT DATA'!$F$18,4)),5,31),"YM")),"")</f>
        <v/>
      </c>
      <c r="M52" t="str">
        <v>M</v>
      </c>
    </row>
    <row r="53" ht="15.75" customHeight="1">
      <c r="B53">
        <v>39</v>
      </c>
      <c r="C53" t="str">
        <f>IF('INPUT DATA'!L48="","",'INPUT DATA'!L48)</f>
        <v/>
      </c>
      <c r="F53" t="str">
        <f>IF('INPUT DATA'!M48="","",'INPUT DATA'!M48)</f>
        <v/>
      </c>
      <c r="H53" s="2" t="str">
        <f>IF('INPUT DATA'!N48="","",'INPUT DATA'!N48)</f>
        <v/>
      </c>
      <c r="I53" s="3" t="str">
        <f>IFERROR(IF(OR(H53="",H53=0),"",DATEDIF(IF(ISNUMBER(H53),H53,DATEVALUE(H53)),DATE(VALUE(LEFT('INPUT DATA'!$F$18,4)),6,1),"Y")),"")</f>
        <v/>
      </c>
      <c r="J53" s="3" t="str">
        <f>IFERROR(IF(OR(H53="",H53=0),"",DATEDIF(IF(ISNUMBER(H53),H53,DATEVALUE(H53)),DATE(VALUE(LEFT('INPUT DATA'!$F$18,4)),6,1),"YM")),"")</f>
        <v/>
      </c>
      <c r="K53" s="3" t="str">
        <f>IFERROR(IF(OR(H53="",H53=0),"",DATEDIF(IF(ISNUMBER(H53),H53,DATEVALUE(H53)),DATE(VALUE(RIGHT('INPUT DATA'!$F$18,4)),5,31),"Y")),"")</f>
        <v/>
      </c>
      <c r="L53" s="3" t="str">
        <f>IFERROR(IF(OR(H53="",H53=0),"",DATEDIF(IF(ISNUMBER(H53),H53,DATEVALUE(H53)),DATE(VALUE(RIGHT('INPUT DATA'!$F$18,4)),5,31),"YM")),"")</f>
        <v/>
      </c>
      <c r="M53" t="str">
        <v>M</v>
      </c>
    </row>
    <row r="54" ht="15.75" customHeight="1">
      <c r="B54">
        <v>40</v>
      </c>
      <c r="C54" t="str">
        <f>IF('INPUT DATA'!L49="","",'INPUT DATA'!L49)</f>
        <v/>
      </c>
      <c r="F54" t="str">
        <f>IF('INPUT DATA'!M49="","",'INPUT DATA'!M49)</f>
        <v/>
      </c>
      <c r="H54" s="2" t="str">
        <f>IF('INPUT DATA'!N49="","",'INPUT DATA'!N49)</f>
        <v/>
      </c>
      <c r="I54" s="3" t="str">
        <f>IFERROR(IF(OR(H54="",H54=0),"",DATEDIF(IF(ISNUMBER(H54),H54,DATEVALUE(H54)),DATE(VALUE(LEFT('INPUT DATA'!$F$18,4)),6,1),"Y")),"")</f>
        <v/>
      </c>
      <c r="J54" s="3" t="str">
        <f>IFERROR(IF(OR(H54="",H54=0),"",DATEDIF(IF(ISNUMBER(H54),H54,DATEVALUE(H54)),DATE(VALUE(LEFT('INPUT DATA'!$F$18,4)),6,1),"YM")),"")</f>
        <v/>
      </c>
      <c r="K54" s="3" t="str">
        <f>IFERROR(IF(OR(H54="",H54=0),"",DATEDIF(IF(ISNUMBER(H54),H54,DATEVALUE(H54)),DATE(VALUE(RIGHT('INPUT DATA'!$F$18,4)),5,31),"Y")),"")</f>
        <v/>
      </c>
      <c r="L54" s="3" t="str">
        <f>IFERROR(IF(OR(H54="",H54=0),"",DATEDIF(IF(ISNUMBER(H54),H54,DATEVALUE(H54)),DATE(VALUE(RIGHT('INPUT DATA'!$F$18,4)),5,31),"YM")),"")</f>
        <v/>
      </c>
      <c r="M54" t="str">
        <v>M</v>
      </c>
    </row>
    <row r="55" ht="15.75" customHeight="1">
      <c r="B55">
        <v>41</v>
      </c>
      <c r="C55" t="str">
        <f>IF('INPUT DATA'!L50="","",'INPUT DATA'!L50)</f>
        <v/>
      </c>
      <c r="F55" t="str">
        <f>IF('INPUT DATA'!M50="","",'INPUT DATA'!M50)</f>
        <v/>
      </c>
      <c r="H55" s="2" t="str">
        <f>IF('INPUT DATA'!N50="","",'INPUT DATA'!N50)</f>
        <v/>
      </c>
      <c r="I55" s="3" t="str">
        <f>IFERROR(IF(OR(H55="",H55=0),"",DATEDIF(IF(ISNUMBER(H55),H55,DATEVALUE(H55)),DATE(VALUE(LEFT('INPUT DATA'!$F$18,4)),6,1),"Y")),"")</f>
        <v/>
      </c>
      <c r="J55" s="3" t="str">
        <f>IFERROR(IF(OR(H55="",H55=0),"",DATEDIF(IF(ISNUMBER(H55),H55,DATEVALUE(H55)),DATE(VALUE(LEFT('INPUT DATA'!$F$18,4)),6,1),"YM")),"")</f>
        <v/>
      </c>
      <c r="K55" s="3" t="str">
        <f>IFERROR(IF(OR(H55="",H55=0),"",DATEDIF(IF(ISNUMBER(H55),H55,DATEVALUE(H55)),DATE(VALUE(RIGHT('INPUT DATA'!$F$18,4)),5,31),"Y")),"")</f>
        <v/>
      </c>
      <c r="L55" s="3" t="str">
        <f>IFERROR(IF(OR(H55="",H55=0),"",DATEDIF(IF(ISNUMBER(H55),H55,DATEVALUE(H55)),DATE(VALUE(RIGHT('INPUT DATA'!$F$18,4)),5,31),"YM")),"")</f>
        <v/>
      </c>
      <c r="M55" t="str">
        <v>M</v>
      </c>
    </row>
    <row r="56" ht="15.75" customHeight="1">
      <c r="B56">
        <v>42</v>
      </c>
      <c r="C56" t="str">
        <f>IF('INPUT DATA'!L51="","",'INPUT DATA'!L51)</f>
        <v/>
      </c>
      <c r="F56" t="str">
        <f>IF('INPUT DATA'!M51="","",'INPUT DATA'!M51)</f>
        <v/>
      </c>
      <c r="H56" s="2" t="str">
        <f>IF('INPUT DATA'!N51="","",'INPUT DATA'!N51)</f>
        <v/>
      </c>
      <c r="I56" s="3" t="str">
        <f>IFERROR(IF(OR(H56="",H56=0),"",DATEDIF(IF(ISNUMBER(H56),H56,DATEVALUE(H56)),DATE(VALUE(LEFT('INPUT DATA'!$F$18,4)),6,1),"Y")),"")</f>
        <v/>
      </c>
      <c r="J56" s="3" t="str">
        <f>IFERROR(IF(OR(H56="",H56=0),"",DATEDIF(IF(ISNUMBER(H56),H56,DATEVALUE(H56)),DATE(VALUE(LEFT('INPUT DATA'!$F$18,4)),6,1),"YM")),"")</f>
        <v/>
      </c>
      <c r="K56" s="3" t="str">
        <f>IFERROR(IF(OR(H56="",H56=0),"",DATEDIF(IF(ISNUMBER(H56),H56,DATEVALUE(H56)),DATE(VALUE(RIGHT('INPUT DATA'!$F$18,4)),5,31),"Y")),"")</f>
        <v/>
      </c>
      <c r="L56" s="3" t="str">
        <f>IFERROR(IF(OR(H56="",H56=0),"",DATEDIF(IF(ISNUMBER(H56),H56,DATEVALUE(H56)),DATE(VALUE(RIGHT('INPUT DATA'!$F$18,4)),5,31),"YM")),"")</f>
        <v/>
      </c>
      <c r="M56" t="str">
        <v>M</v>
      </c>
    </row>
    <row r="57" ht="15.75" customHeight="1">
      <c r="B57">
        <v>43</v>
      </c>
      <c r="C57" t="str">
        <f>IF('INPUT DATA'!L52="","",'INPUT DATA'!L52)</f>
        <v/>
      </c>
      <c r="F57" t="str">
        <f>IF('INPUT DATA'!M52="","",'INPUT DATA'!M52)</f>
        <v/>
      </c>
      <c r="H57" s="2" t="str">
        <f>IF('INPUT DATA'!N52="","",'INPUT DATA'!N52)</f>
        <v/>
      </c>
      <c r="I57" s="3" t="str">
        <f>IFERROR(IF(OR(H57="",H57=0),"",DATEDIF(IF(ISNUMBER(H57),H57,DATEVALUE(H57)),DATE(VALUE(LEFT('INPUT DATA'!$F$18,4)),6,1),"Y")),"")</f>
        <v/>
      </c>
      <c r="J57" s="3" t="str">
        <f>IFERROR(IF(OR(H57="",H57=0),"",DATEDIF(IF(ISNUMBER(H57),H57,DATEVALUE(H57)),DATE(VALUE(LEFT('INPUT DATA'!$F$18,4)),6,1),"YM")),"")</f>
        <v/>
      </c>
      <c r="K57" s="3" t="str">
        <f>IFERROR(IF(OR(H57="",H57=0),"",DATEDIF(IF(ISNUMBER(H57),H57,DATEVALUE(H57)),DATE(VALUE(RIGHT('INPUT DATA'!$F$18,4)),5,31),"Y")),"")</f>
        <v/>
      </c>
      <c r="L57" s="3" t="str">
        <f>IFERROR(IF(OR(H57="",H57=0),"",DATEDIF(IF(ISNUMBER(H57),H57,DATEVALUE(H57)),DATE(VALUE(RIGHT('INPUT DATA'!$F$18,4)),5,31),"YM")),"")</f>
        <v/>
      </c>
      <c r="M57" t="str">
        <v>M</v>
      </c>
    </row>
    <row r="58" ht="15.75" customHeight="1">
      <c r="B58">
        <v>44</v>
      </c>
      <c r="C58" t="str">
        <f>IF('INPUT DATA'!L53="","",'INPUT DATA'!L53)</f>
        <v/>
      </c>
      <c r="F58" t="str">
        <f>IF('INPUT DATA'!M53="","",'INPUT DATA'!M53)</f>
        <v/>
      </c>
      <c r="H58" s="2" t="str">
        <f>IF('INPUT DATA'!N53="","",'INPUT DATA'!N53)</f>
        <v/>
      </c>
      <c r="I58" s="3" t="str">
        <f>IFERROR(IF(OR(H58="",H58=0),"",DATEDIF(IF(ISNUMBER(H58),H58,DATEVALUE(H58)),DATE(VALUE(LEFT('INPUT DATA'!$F$18,4)),6,1),"Y")),"")</f>
        <v/>
      </c>
      <c r="J58" s="3" t="str">
        <f>IFERROR(IF(OR(H58="",H58=0),"",DATEDIF(IF(ISNUMBER(H58),H58,DATEVALUE(H58)),DATE(VALUE(LEFT('INPUT DATA'!$F$18,4)),6,1),"YM")),"")</f>
        <v/>
      </c>
      <c r="K58" s="3" t="str">
        <f>IFERROR(IF(OR(H58="",H58=0),"",DATEDIF(IF(ISNUMBER(H58),H58,DATEVALUE(H58)),DATE(VALUE(RIGHT('INPUT DATA'!$F$18,4)),5,31),"Y")),"")</f>
        <v/>
      </c>
      <c r="L58" s="3" t="str">
        <f>IFERROR(IF(OR(H58="",H58=0),"",DATEDIF(IF(ISNUMBER(H58),H58,DATEVALUE(H58)),DATE(VALUE(RIGHT('INPUT DATA'!$F$18,4)),5,31),"YM")),"")</f>
        <v/>
      </c>
      <c r="M58" t="str">
        <v>M</v>
      </c>
    </row>
    <row r="59" ht="15.75" customHeight="1">
      <c r="B59">
        <v>45</v>
      </c>
      <c r="C59" t="str">
        <f>IF('INPUT DATA'!L54="","",'INPUT DATA'!L54)</f>
        <v/>
      </c>
      <c r="F59" t="str">
        <f>IF('INPUT DATA'!M54="","",'INPUT DATA'!M54)</f>
        <v/>
      </c>
      <c r="H59" s="2" t="str">
        <f>IF('INPUT DATA'!N54="","",'INPUT DATA'!N54)</f>
        <v/>
      </c>
      <c r="I59" s="3" t="str">
        <f>IFERROR(IF(OR(H59="",H59=0),"",DATEDIF(IF(ISNUMBER(H59),H59,DATEVALUE(H59)),DATE(VALUE(LEFT('INPUT DATA'!$F$18,4)),6,1),"Y")),"")</f>
        <v/>
      </c>
      <c r="J59" s="3" t="str">
        <f>IFERROR(IF(OR(H59="",H59=0),"",DATEDIF(IF(ISNUMBER(H59),H59,DATEVALUE(H59)),DATE(VALUE(LEFT('INPUT DATA'!$F$18,4)),6,1),"YM")),"")</f>
        <v/>
      </c>
      <c r="K59" s="3" t="str">
        <f>IFERROR(IF(OR(H59="",H59=0),"",DATEDIF(IF(ISNUMBER(H59),H59,DATEVALUE(H59)),DATE(VALUE(RIGHT('INPUT DATA'!$F$18,4)),5,31),"Y")),"")</f>
        <v/>
      </c>
      <c r="L59" s="3" t="str">
        <f>IFERROR(IF(OR(H59="",H59=0),"",DATEDIF(IF(ISNUMBER(H59),H59,DATEVALUE(H59)),DATE(VALUE(RIGHT('INPUT DATA'!$F$18,4)),5,31),"YM")),"")</f>
        <v/>
      </c>
      <c r="M59" t="str">
        <v>M</v>
      </c>
    </row>
    <row r="60" ht="15.75" customHeight="1">
      <c r="B60">
        <v>46</v>
      </c>
      <c r="C60" t="str">
        <f>IF('INPUT DATA'!L55="","",'INPUT DATA'!L55)</f>
        <v/>
      </c>
      <c r="F60" t="str">
        <f>IF('INPUT DATA'!M55="","",'INPUT DATA'!M55)</f>
        <v/>
      </c>
      <c r="H60" s="2" t="str">
        <f>IF('INPUT DATA'!N55="","",'INPUT DATA'!N55)</f>
        <v/>
      </c>
      <c r="I60" s="3" t="str">
        <f>IFERROR(IF(OR(H60="",H60=0),"",DATEDIF(IF(ISNUMBER(H60),H60,DATEVALUE(H60)),DATE(VALUE(LEFT('INPUT DATA'!$F$18,4)),6,1),"Y")),"")</f>
        <v/>
      </c>
      <c r="J60" s="3" t="str">
        <f>IFERROR(IF(OR(H60="",H60=0),"",DATEDIF(IF(ISNUMBER(H60),H60,DATEVALUE(H60)),DATE(VALUE(LEFT('INPUT DATA'!$F$18,4)),6,1),"YM")),"")</f>
        <v/>
      </c>
      <c r="K60" s="3" t="str">
        <f>IFERROR(IF(OR(H60="",H60=0),"",DATEDIF(IF(ISNUMBER(H60),H60,DATEVALUE(H60)),DATE(VALUE(RIGHT('INPUT DATA'!$F$18,4)),5,31),"Y")),"")</f>
        <v/>
      </c>
      <c r="L60" s="3" t="str">
        <f>IFERROR(IF(OR(H60="",H60=0),"",DATEDIF(IF(ISNUMBER(H60),H60,DATEVALUE(H60)),DATE(VALUE(RIGHT('INPUT DATA'!$F$18,4)),5,31),"YM")),"")</f>
        <v/>
      </c>
      <c r="M60" t="str">
        <v>M</v>
      </c>
    </row>
    <row r="61" ht="15.75" customHeight="1">
      <c r="B61">
        <v>47</v>
      </c>
      <c r="C61" t="str">
        <f>IF('INPUT DATA'!L56="","",'INPUT DATA'!L56)</f>
        <v/>
      </c>
      <c r="F61" t="str">
        <f>IF('INPUT DATA'!M56="","",'INPUT DATA'!M56)</f>
        <v/>
      </c>
      <c r="H61" s="2" t="str">
        <f>IF('INPUT DATA'!N56="","",'INPUT DATA'!N56)</f>
        <v/>
      </c>
      <c r="I61" s="3" t="str">
        <f>IFERROR(IF(OR(H61="",H61=0),"",DATEDIF(IF(ISNUMBER(H61),H61,DATEVALUE(H61)),DATE(VALUE(LEFT('INPUT DATA'!$F$18,4)),6,1),"Y")),"")</f>
        <v/>
      </c>
      <c r="J61" s="3" t="str">
        <f>IFERROR(IF(OR(H61="",H61=0),"",DATEDIF(IF(ISNUMBER(H61),H61,DATEVALUE(H61)),DATE(VALUE(LEFT('INPUT DATA'!$F$18,4)),6,1),"YM")),"")</f>
        <v/>
      </c>
      <c r="K61" s="3" t="str">
        <f>IFERROR(IF(OR(H61="",H61=0),"",DATEDIF(IF(ISNUMBER(H61),H61,DATEVALUE(H61)),DATE(VALUE(RIGHT('INPUT DATA'!$F$18,4)),5,31),"Y")),"")</f>
        <v/>
      </c>
      <c r="L61" s="3" t="str">
        <f>IFERROR(IF(OR(H61="",H61=0),"",DATEDIF(IF(ISNUMBER(H61),H61,DATEVALUE(H61)),DATE(VALUE(RIGHT('INPUT DATA'!$F$18,4)),5,31),"YM")),"")</f>
        <v/>
      </c>
      <c r="M61" t="str">
        <v>M</v>
      </c>
    </row>
    <row r="62" ht="15.75" customHeight="1">
      <c r="B62">
        <v>48</v>
      </c>
      <c r="C62" t="str">
        <f>IF('INPUT DATA'!L57="","",'INPUT DATA'!L57)</f>
        <v/>
      </c>
      <c r="F62" t="str">
        <f>IF('INPUT DATA'!M57="","",'INPUT DATA'!M57)</f>
        <v/>
      </c>
      <c r="H62" s="2" t="str">
        <f>IF('INPUT DATA'!N57="","",'INPUT DATA'!N57)</f>
        <v/>
      </c>
      <c r="I62" s="3" t="str">
        <f>IFERROR(IF(OR(H62="",H62=0),"",DATEDIF(IF(ISNUMBER(H62),H62,DATEVALUE(H62)),DATE(VALUE(LEFT('INPUT DATA'!$F$18,4)),6,1),"Y")),"")</f>
        <v/>
      </c>
      <c r="J62" s="3" t="str">
        <f>IFERROR(IF(OR(H62="",H62=0),"",DATEDIF(IF(ISNUMBER(H62),H62,DATEVALUE(H62)),DATE(VALUE(LEFT('INPUT DATA'!$F$18,4)),6,1),"YM")),"")</f>
        <v/>
      </c>
      <c r="K62" s="3" t="str">
        <f>IFERROR(IF(OR(H62="",H62=0),"",DATEDIF(IF(ISNUMBER(H62),H62,DATEVALUE(H62)),DATE(VALUE(RIGHT('INPUT DATA'!$F$18,4)),5,31),"Y")),"")</f>
        <v/>
      </c>
      <c r="L62" s="3" t="str">
        <f>IFERROR(IF(OR(H62="",H62=0),"",DATEDIF(IF(ISNUMBER(H62),H62,DATEVALUE(H62)),DATE(VALUE(RIGHT('INPUT DATA'!$F$18,4)),5,31),"YM")),"")</f>
        <v/>
      </c>
      <c r="M62" t="str">
        <v>M</v>
      </c>
    </row>
    <row r="63" ht="15.75" customHeight="1">
      <c r="B63">
        <v>49</v>
      </c>
      <c r="C63" t="str">
        <f>IF('INPUT DATA'!L58="","",'INPUT DATA'!L58)</f>
        <v/>
      </c>
      <c r="F63" t="str">
        <f>IF('INPUT DATA'!M58="","",'INPUT DATA'!M58)</f>
        <v/>
      </c>
      <c r="H63" s="2" t="str">
        <f>IF('INPUT DATA'!N58="","",'INPUT DATA'!N58)</f>
        <v/>
      </c>
      <c r="I63" s="3" t="str">
        <f>IFERROR(IF(OR(H63="",H63=0),"",DATEDIF(IF(ISNUMBER(H63),H63,DATEVALUE(H63)),DATE(VALUE(LEFT('INPUT DATA'!$F$18,4)),6,1),"Y")),"")</f>
        <v/>
      </c>
      <c r="J63" s="3" t="str">
        <f>IFERROR(IF(OR(H63="",H63=0),"",DATEDIF(IF(ISNUMBER(H63),H63,DATEVALUE(H63)),DATE(VALUE(LEFT('INPUT DATA'!$F$18,4)),6,1),"YM")),"")</f>
        <v/>
      </c>
      <c r="K63" s="3" t="str">
        <f>IFERROR(IF(OR(H63="",H63=0),"",DATEDIF(IF(ISNUMBER(H63),H63,DATEVALUE(H63)),DATE(VALUE(RIGHT('INPUT DATA'!$F$18,4)),5,31),"Y")),"")</f>
        <v/>
      </c>
      <c r="L63" s="3" t="str">
        <f>IFERROR(IF(OR(H63="",H63=0),"",DATEDIF(IF(ISNUMBER(H63),H63,DATEVALUE(H63)),DATE(VALUE(RIGHT('INPUT DATA'!$F$18,4)),5,31),"YM")),"")</f>
        <v/>
      </c>
      <c r="M63" t="str">
        <v>M</v>
      </c>
    </row>
    <row r="64" ht="15.75" customHeight="1">
      <c r="B64">
        <v>50</v>
      </c>
      <c r="C64" t="str">
        <f>IF('INPUT DATA'!L59="","",'INPUT DATA'!L59)</f>
        <v/>
      </c>
      <c r="F64" t="str">
        <f>IF('INPUT DATA'!M59="","",'INPUT DATA'!M59)</f>
        <v/>
      </c>
      <c r="H64" s="2" t="str">
        <f>IF('INPUT DATA'!N59="","",'INPUT DATA'!N59)</f>
        <v/>
      </c>
      <c r="I64" s="3" t="str">
        <f>IFERROR(IF(OR(H64="",H64=0),"",DATEDIF(IF(ISNUMBER(H64),H64,DATEVALUE(H64)),DATE(VALUE(LEFT('INPUT DATA'!$F$18,4)),6,1),"Y")),"")</f>
        <v/>
      </c>
      <c r="J64" s="3" t="str">
        <f>IFERROR(IF(OR(H64="",H64=0),"",DATEDIF(IF(ISNUMBER(H64),H64,DATEVALUE(H64)),DATE(VALUE(LEFT('INPUT DATA'!$F$18,4)),6,1),"YM")),"")</f>
        <v/>
      </c>
      <c r="K64" s="3" t="str">
        <f>IFERROR(IF(OR(H64="",H64=0),"",DATEDIF(IF(ISNUMBER(H64),H64,DATEVALUE(H64)),DATE(VALUE(RIGHT('INPUT DATA'!$F$18,4)),5,31),"Y")),"")</f>
        <v/>
      </c>
      <c r="L64" s="3" t="str">
        <f>IFERROR(IF(OR(H64="",H64=0),"",DATEDIF(IF(ISNUMBER(H64),H64,DATEVALUE(H64)),DATE(VALUE(RIGHT('INPUT DATA'!$F$18,4)),5,31),"YM")),"")</f>
        <v/>
      </c>
      <c r="M64" t="str">
        <v>M</v>
      </c>
    </row>
    <row r="65" ht="15.75" customHeight="1">
      <c r="B65" t="str">
        <v>FEMALE</v>
      </c>
    </row>
    <row r="66" ht="15.75" customHeight="1">
      <c r="B66">
        <v>1</v>
      </c>
      <c r="C66" t="str">
        <f>IF('INPUT DATA'!Q11="","",'INPUT DATA'!Q11)</f>
        <v/>
      </c>
      <c r="F66" t="str">
        <f>IF('INPUT DATA'!R11="","",'INPUT DATA'!R11)</f>
        <v/>
      </c>
      <c r="H66" s="2" t="str">
        <f>IF('INPUT DATA'!S11="","",'INPUT DATA'!S11)</f>
        <v/>
      </c>
      <c r="I66" s="3" t="str">
        <f>IFERROR(IF(OR(H66="",H66=0),"",DATEDIF(IF(ISNUMBER(H66),H66,DATEVALUE(H66)),DATE(VALUE(LEFT('INPUT DATA'!$F$18,4)),6,1),"Y")),"")</f>
        <v/>
      </c>
      <c r="J66" s="3" t="str">
        <f>IFERROR(IF(OR(H66="",H66=0),"",DATEDIF(IF(ISNUMBER(H66),H66,DATEVALUE(H66)),DATE(VALUE(LEFT('INPUT DATA'!$F$18,4)),6,1),"YM")),"")</f>
        <v/>
      </c>
      <c r="K66" s="3" t="str">
        <f>IFERROR(IF(OR(H66="",H66=0),"",DATEDIF(IF(ISNUMBER(H66),H66,DATEVALUE(H66)),DATE(VALUE(RIGHT('INPUT DATA'!$F$18,4)),5,31),"Y")),"")</f>
        <v/>
      </c>
      <c r="L66" s="3" t="str">
        <f>IFERROR(IF(OR(H66="",H66=0),"",DATEDIF(IF(ISNUMBER(H66),H66,DATEVALUE(H66)),DATE(VALUE(RIGHT('INPUT DATA'!$F$18,4)),5,31),"YM")),"")</f>
        <v/>
      </c>
      <c r="M66" t="str">
        <v>F</v>
      </c>
    </row>
    <row r="67" ht="15.75" customHeight="1">
      <c r="B67">
        <v>2</v>
      </c>
      <c r="C67" t="str">
        <f>IF('INPUT DATA'!Q12="","",'INPUT DATA'!Q12)</f>
        <v/>
      </c>
      <c r="F67" t="str">
        <f>IF('INPUT DATA'!R12="","",'INPUT DATA'!R12)</f>
        <v/>
      </c>
      <c r="H67" s="2" t="str">
        <f>IF('INPUT DATA'!S12="","",'INPUT DATA'!S12)</f>
        <v/>
      </c>
      <c r="I67" s="3" t="str">
        <f>IFERROR(IF(OR(H67="",H67=0),"",DATEDIF(IF(ISNUMBER(H67),H67,DATEVALUE(H67)),DATE(VALUE(LEFT('INPUT DATA'!$F$18,4)),6,1),"Y")),"")</f>
        <v/>
      </c>
      <c r="J67" s="3" t="str">
        <f>IFERROR(IF(OR(H67="",H67=0),"",DATEDIF(IF(ISNUMBER(H67),H67,DATEVALUE(H67)),DATE(VALUE(LEFT('INPUT DATA'!$F$18,4)),6,1),"YM")),"")</f>
        <v/>
      </c>
      <c r="K67" s="3" t="str">
        <f>IFERROR(IF(OR(H67="",H67=0),"",DATEDIF(IF(ISNUMBER(H67),H67,DATEVALUE(H67)),DATE(VALUE(RIGHT('INPUT DATA'!$F$18,4)),5,31),"Y")),"")</f>
        <v/>
      </c>
      <c r="L67" s="3" t="str">
        <f>IFERROR(IF(OR(H67="",H67=0),"",DATEDIF(IF(ISNUMBER(H67),H67,DATEVALUE(H67)),DATE(VALUE(RIGHT('INPUT DATA'!$F$18,4)),5,31),"YM")),"")</f>
        <v/>
      </c>
      <c r="M67" t="str">
        <v>F</v>
      </c>
    </row>
    <row r="68" ht="15.75" customHeight="1">
      <c r="B68">
        <v>3</v>
      </c>
      <c r="C68" t="str">
        <f>IF('INPUT DATA'!Q13="","",'INPUT DATA'!Q13)</f>
        <v/>
      </c>
      <c r="F68" t="str">
        <f>IF('INPUT DATA'!R13="","",'INPUT DATA'!R13)</f>
        <v/>
      </c>
      <c r="H68" s="2" t="str">
        <f>IF('INPUT DATA'!S13="","",'INPUT DATA'!S13)</f>
        <v/>
      </c>
      <c r="I68" s="3" t="str">
        <f>IFERROR(IF(OR(H68="",H68=0),"",DATEDIF(IF(ISNUMBER(H68),H68,DATEVALUE(H68)),DATE(VALUE(LEFT('INPUT DATA'!$F$18,4)),6,1),"Y")),"")</f>
        <v/>
      </c>
      <c r="J68" s="3" t="str">
        <f>IFERROR(IF(OR(H68="",H68=0),"",DATEDIF(IF(ISNUMBER(H68),H68,DATEVALUE(H68)),DATE(VALUE(LEFT('INPUT DATA'!$F$18,4)),6,1),"YM")),"")</f>
        <v/>
      </c>
      <c r="K68" s="3" t="str">
        <f>IFERROR(IF(OR(H68="",H68=0),"",DATEDIF(IF(ISNUMBER(H68),H68,DATEVALUE(H68)),DATE(VALUE(RIGHT('INPUT DATA'!$F$18,4)),5,31),"Y")),"")</f>
        <v/>
      </c>
      <c r="L68" s="3" t="str">
        <f>IFERROR(IF(OR(H68="",H68=0),"",DATEDIF(IF(ISNUMBER(H68),H68,DATEVALUE(H68)),DATE(VALUE(RIGHT('INPUT DATA'!$F$18,4)),5,31),"YM")),"")</f>
        <v/>
      </c>
      <c r="M68" t="str">
        <v>F</v>
      </c>
    </row>
    <row r="69" ht="15.75" customHeight="1">
      <c r="B69">
        <v>4</v>
      </c>
      <c r="C69" t="str">
        <f>IF('INPUT DATA'!Q14="","",'INPUT DATA'!Q14)</f>
        <v/>
      </c>
      <c r="F69" t="str">
        <f>IF('INPUT DATA'!R14="","",'INPUT DATA'!R14)</f>
        <v/>
      </c>
      <c r="H69" s="2" t="str">
        <f>IF('INPUT DATA'!S14="","",'INPUT DATA'!S14)</f>
        <v/>
      </c>
      <c r="I69" s="3" t="str">
        <f>IFERROR(IF(OR(H69="",H69=0),"",DATEDIF(IF(ISNUMBER(H69),H69,DATEVALUE(H69)),DATE(VALUE(LEFT('INPUT DATA'!$F$18,4)),6,1),"Y")),"")</f>
        <v/>
      </c>
      <c r="J69" s="3" t="str">
        <f>IFERROR(IF(OR(H69="",H69=0),"",DATEDIF(IF(ISNUMBER(H69),H69,DATEVALUE(H69)),DATE(VALUE(LEFT('INPUT DATA'!$F$18,4)),6,1),"YM")),"")</f>
        <v/>
      </c>
      <c r="K69" s="3" t="str">
        <f>IFERROR(IF(OR(H69="",H69=0),"",DATEDIF(IF(ISNUMBER(H69),H69,DATEVALUE(H69)),DATE(VALUE(RIGHT('INPUT DATA'!$F$18,4)),5,31),"Y")),"")</f>
        <v/>
      </c>
      <c r="L69" s="3" t="str">
        <f>IFERROR(IF(OR(H69="",H69=0),"",DATEDIF(IF(ISNUMBER(H69),H69,DATEVALUE(H69)),DATE(VALUE(RIGHT('INPUT DATA'!$F$18,4)),5,31),"YM")),"")</f>
        <v/>
      </c>
      <c r="M69" t="str">
        <v>F</v>
      </c>
    </row>
    <row r="70" ht="15.75" customHeight="1">
      <c r="B70">
        <v>5</v>
      </c>
      <c r="C70" t="str">
        <f>IF('INPUT DATA'!Q15="","",'INPUT DATA'!Q15)</f>
        <v/>
      </c>
      <c r="F70" t="str">
        <f>IF('INPUT DATA'!R15="","",'INPUT DATA'!R15)</f>
        <v/>
      </c>
      <c r="H70" s="2" t="str">
        <f>IF('INPUT DATA'!S15="","",'INPUT DATA'!S15)</f>
        <v/>
      </c>
      <c r="I70" s="3" t="str">
        <f>IFERROR(IF(OR(H70="",H70=0),"",DATEDIF(IF(ISNUMBER(H70),H70,DATEVALUE(H70)),DATE(VALUE(LEFT('INPUT DATA'!$F$18,4)),6,1),"Y")),"")</f>
        <v/>
      </c>
      <c r="J70" s="3" t="str">
        <f>IFERROR(IF(OR(H70="",H70=0),"",DATEDIF(IF(ISNUMBER(H70),H70,DATEVALUE(H70)),DATE(VALUE(LEFT('INPUT DATA'!$F$18,4)),6,1),"YM")),"")</f>
        <v/>
      </c>
      <c r="K70" s="3" t="str">
        <f>IFERROR(IF(OR(H70="",H70=0),"",DATEDIF(IF(ISNUMBER(H70),H70,DATEVALUE(H70)),DATE(VALUE(RIGHT('INPUT DATA'!$F$18,4)),5,31),"Y")),"")</f>
        <v/>
      </c>
      <c r="L70" s="3" t="str">
        <f>IFERROR(IF(OR(H70="",H70=0),"",DATEDIF(IF(ISNUMBER(H70),H70,DATEVALUE(H70)),DATE(VALUE(RIGHT('INPUT DATA'!$F$18,4)),5,31),"YM")),"")</f>
        <v/>
      </c>
      <c r="M70" t="str">
        <v>F</v>
      </c>
    </row>
    <row r="71" ht="15.75" customHeight="1">
      <c r="B71">
        <v>6</v>
      </c>
      <c r="C71" t="str">
        <f>IF('INPUT DATA'!Q16="","",'INPUT DATA'!Q16)</f>
        <v/>
      </c>
      <c r="F71" t="str">
        <f>IF('INPUT DATA'!R16="","",'INPUT DATA'!R16)</f>
        <v/>
      </c>
      <c r="H71" s="2" t="str">
        <f>IF('INPUT DATA'!S16="","",'INPUT DATA'!S16)</f>
        <v/>
      </c>
      <c r="I71" s="3" t="str">
        <f>IFERROR(IF(OR(H71="",H71=0),"",DATEDIF(IF(ISNUMBER(H71),H71,DATEVALUE(H71)),DATE(VALUE(LEFT('INPUT DATA'!$F$18,4)),6,1),"Y")),"")</f>
        <v/>
      </c>
      <c r="J71" s="3" t="str">
        <f>IFERROR(IF(OR(H71="",H71=0),"",DATEDIF(IF(ISNUMBER(H71),H71,DATEVALUE(H71)),DATE(VALUE(LEFT('INPUT DATA'!$F$18,4)),6,1),"YM")),"")</f>
        <v/>
      </c>
      <c r="K71" s="3" t="str">
        <f>IFERROR(IF(OR(H71="",H71=0),"",DATEDIF(IF(ISNUMBER(H71),H71,DATEVALUE(H71)),DATE(VALUE(RIGHT('INPUT DATA'!$F$18,4)),5,31),"Y")),"")</f>
        <v/>
      </c>
      <c r="L71" s="3" t="str">
        <f>IFERROR(IF(OR(H71="",H71=0),"",DATEDIF(IF(ISNUMBER(H71),H71,DATEVALUE(H71)),DATE(VALUE(RIGHT('INPUT DATA'!$F$18,4)),5,31),"YM")),"")</f>
        <v/>
      </c>
      <c r="M71" t="str">
        <v>F</v>
      </c>
    </row>
    <row r="72" ht="15.75" customHeight="1">
      <c r="B72">
        <v>7</v>
      </c>
      <c r="C72" t="str">
        <f>IF('INPUT DATA'!Q17="","",'INPUT DATA'!Q17)</f>
        <v/>
      </c>
      <c r="F72" t="str">
        <f>IF('INPUT DATA'!R17="","",'INPUT DATA'!R17)</f>
        <v/>
      </c>
      <c r="H72" s="2" t="str">
        <f>IF('INPUT DATA'!S17="","",'INPUT DATA'!S17)</f>
        <v/>
      </c>
      <c r="I72" s="3" t="str">
        <f>IFERROR(IF(OR(H72="",H72=0),"",DATEDIF(IF(ISNUMBER(H72),H72,DATEVALUE(H72)),DATE(VALUE(LEFT('INPUT DATA'!$F$18,4)),6,1),"Y")),"")</f>
        <v/>
      </c>
      <c r="J72" s="3" t="str">
        <f>IFERROR(IF(OR(H72="",H72=0),"",DATEDIF(IF(ISNUMBER(H72),H72,DATEVALUE(H72)),DATE(VALUE(LEFT('INPUT DATA'!$F$18,4)),6,1),"YM")),"")</f>
        <v/>
      </c>
      <c r="K72" s="3" t="str">
        <f>IFERROR(IF(OR(H72="",H72=0),"",DATEDIF(IF(ISNUMBER(H72),H72,DATEVALUE(H72)),DATE(VALUE(RIGHT('INPUT DATA'!$F$18,4)),5,31),"Y")),"")</f>
        <v/>
      </c>
      <c r="L72" s="3" t="str">
        <f>IFERROR(IF(OR(H72="",H72=0),"",DATEDIF(IF(ISNUMBER(H72),H72,DATEVALUE(H72)),DATE(VALUE(RIGHT('INPUT DATA'!$F$18,4)),5,31),"YM")),"")</f>
        <v/>
      </c>
      <c r="M72" t="str">
        <v>F</v>
      </c>
    </row>
    <row r="73" ht="15.75" customHeight="1">
      <c r="B73">
        <v>8</v>
      </c>
      <c r="C73" t="str">
        <f>IF('INPUT DATA'!Q18="","",'INPUT DATA'!Q18)</f>
        <v/>
      </c>
      <c r="F73" t="str">
        <f>IF('INPUT DATA'!R18="","",'INPUT DATA'!R18)</f>
        <v/>
      </c>
      <c r="H73" s="2" t="str">
        <f>IF('INPUT DATA'!S18="","",'INPUT DATA'!S18)</f>
        <v/>
      </c>
      <c r="I73" s="3" t="str">
        <f>IFERROR(IF(OR(H73="",H73=0),"",DATEDIF(IF(ISNUMBER(H73),H73,DATEVALUE(H73)),DATE(VALUE(LEFT('INPUT DATA'!$F$18,4)),6,1),"Y")),"")</f>
        <v/>
      </c>
      <c r="J73" s="3" t="str">
        <f>IFERROR(IF(OR(H73="",H73=0),"",DATEDIF(IF(ISNUMBER(H73),H73,DATEVALUE(H73)),DATE(VALUE(LEFT('INPUT DATA'!$F$18,4)),6,1),"YM")),"")</f>
        <v/>
      </c>
      <c r="K73" s="3" t="str">
        <f>IFERROR(IF(OR(H73="",H73=0),"",DATEDIF(IF(ISNUMBER(H73),H73,DATEVALUE(H73)),DATE(VALUE(RIGHT('INPUT DATA'!$F$18,4)),5,31),"Y")),"")</f>
        <v/>
      </c>
      <c r="L73" s="3" t="str">
        <f>IFERROR(IF(OR(H73="",H73=0),"",DATEDIF(IF(ISNUMBER(H73),H73,DATEVALUE(H73)),DATE(VALUE(RIGHT('INPUT DATA'!$F$18,4)),5,31),"YM")),"")</f>
        <v/>
      </c>
      <c r="M73" t="str">
        <v>F</v>
      </c>
    </row>
    <row r="74" ht="15.75" customHeight="1">
      <c r="B74">
        <v>9</v>
      </c>
      <c r="C74" t="str">
        <f>IF('INPUT DATA'!Q19="","",'INPUT DATA'!Q19)</f>
        <v/>
      </c>
      <c r="F74" t="str">
        <f>IF('INPUT DATA'!R19="","",'INPUT DATA'!R19)</f>
        <v/>
      </c>
      <c r="H74" s="2" t="str">
        <f>IF('INPUT DATA'!S19="","",'INPUT DATA'!S19)</f>
        <v/>
      </c>
      <c r="I74" s="3" t="str">
        <f>IFERROR(IF(OR(H74="",H74=0),"",DATEDIF(IF(ISNUMBER(H74),H74,DATEVALUE(H74)),DATE(VALUE(LEFT('INPUT DATA'!$F$18,4)),6,1),"Y")),"")</f>
        <v/>
      </c>
      <c r="J74" s="3" t="str">
        <f>IFERROR(IF(OR(H74="",H74=0),"",DATEDIF(IF(ISNUMBER(H74),H74,DATEVALUE(H74)),DATE(VALUE(LEFT('INPUT DATA'!$F$18,4)),6,1),"YM")),"")</f>
        <v/>
      </c>
      <c r="K74" s="3" t="str">
        <f>IFERROR(IF(OR(H74="",H74=0),"",DATEDIF(IF(ISNUMBER(H74),H74,DATEVALUE(H74)),DATE(VALUE(RIGHT('INPUT DATA'!$F$18,4)),5,31),"Y")),"")</f>
        <v/>
      </c>
      <c r="L74" s="3" t="str">
        <f>IFERROR(IF(OR(H74="",H74=0),"",DATEDIF(IF(ISNUMBER(H74),H74,DATEVALUE(H74)),DATE(VALUE(RIGHT('INPUT DATA'!$F$18,4)),5,31),"YM")),"")</f>
        <v/>
      </c>
      <c r="M74" t="str">
        <v>F</v>
      </c>
    </row>
    <row r="75" ht="15.75" customHeight="1">
      <c r="B75">
        <v>10</v>
      </c>
      <c r="C75" t="str">
        <f>IF('INPUT DATA'!Q20="","",'INPUT DATA'!Q20)</f>
        <v/>
      </c>
      <c r="F75" t="str">
        <f>IF('INPUT DATA'!R20="","",'INPUT DATA'!R20)</f>
        <v/>
      </c>
      <c r="H75" s="2" t="str">
        <f>IF('INPUT DATA'!S20="","",'INPUT DATA'!S20)</f>
        <v/>
      </c>
      <c r="I75" s="3" t="str">
        <f>IFERROR(IF(OR(H75="",H75=0),"",DATEDIF(IF(ISNUMBER(H75),H75,DATEVALUE(H75)),DATE(VALUE(LEFT('INPUT DATA'!$F$18,4)),6,1),"Y")),"")</f>
        <v/>
      </c>
      <c r="J75" s="3" t="str">
        <f>IFERROR(IF(OR(H75="",H75=0),"",DATEDIF(IF(ISNUMBER(H75),H75,DATEVALUE(H75)),DATE(VALUE(LEFT('INPUT DATA'!$F$18,4)),6,1),"YM")),"")</f>
        <v/>
      </c>
      <c r="K75" s="3" t="str">
        <f>IFERROR(IF(OR(H75="",H75=0),"",DATEDIF(IF(ISNUMBER(H75),H75,DATEVALUE(H75)),DATE(VALUE(RIGHT('INPUT DATA'!$F$18,4)),5,31),"Y")),"")</f>
        <v/>
      </c>
      <c r="L75" s="3" t="str">
        <f>IFERROR(IF(OR(H75="",H75=0),"",DATEDIF(IF(ISNUMBER(H75),H75,DATEVALUE(H75)),DATE(VALUE(RIGHT('INPUT DATA'!$F$18,4)),5,31),"YM")),"")</f>
        <v/>
      </c>
      <c r="M75" t="str">
        <v>F</v>
      </c>
    </row>
    <row r="76" ht="15.75" customHeight="1">
      <c r="B76">
        <v>11</v>
      </c>
      <c r="C76" t="str">
        <f>IF('INPUT DATA'!Q21="","",'INPUT DATA'!Q21)</f>
        <v/>
      </c>
      <c r="F76" t="str">
        <f>IF('INPUT DATA'!R21="","",'INPUT DATA'!R21)</f>
        <v/>
      </c>
      <c r="H76" s="2" t="str">
        <f>IF('INPUT DATA'!S21="","",'INPUT DATA'!S21)</f>
        <v/>
      </c>
      <c r="I76" s="3" t="str">
        <f>IFERROR(IF(OR(H76="",H76=0),"",DATEDIF(IF(ISNUMBER(H76),H76,DATEVALUE(H76)),DATE(VALUE(LEFT('INPUT DATA'!$F$18,4)),6,1),"Y")),"")</f>
        <v/>
      </c>
      <c r="J76" s="3" t="str">
        <f>IFERROR(IF(OR(H76="",H76=0),"",DATEDIF(IF(ISNUMBER(H76),H76,DATEVALUE(H76)),DATE(VALUE(LEFT('INPUT DATA'!$F$18,4)),6,1),"YM")),"")</f>
        <v/>
      </c>
      <c r="K76" s="3" t="str">
        <f>IFERROR(IF(OR(H76="",H76=0),"",DATEDIF(IF(ISNUMBER(H76),H76,DATEVALUE(H76)),DATE(VALUE(RIGHT('INPUT DATA'!$F$18,4)),5,31),"Y")),"")</f>
        <v/>
      </c>
      <c r="L76" s="3" t="str">
        <f>IFERROR(IF(OR(H76="",H76=0),"",DATEDIF(IF(ISNUMBER(H76),H76,DATEVALUE(H76)),DATE(VALUE(RIGHT('INPUT DATA'!$F$18,4)),5,31),"YM")),"")</f>
        <v/>
      </c>
      <c r="M76" t="str">
        <v>F</v>
      </c>
    </row>
    <row r="77" ht="15.75" customHeight="1">
      <c r="B77">
        <v>12</v>
      </c>
      <c r="C77" t="str">
        <f>IF('INPUT DATA'!Q22="","",'INPUT DATA'!Q22)</f>
        <v/>
      </c>
      <c r="F77" t="str">
        <f>IF('INPUT DATA'!R22="","",'INPUT DATA'!R22)</f>
        <v/>
      </c>
      <c r="H77" s="2" t="str">
        <f>IF('INPUT DATA'!S22="","",'INPUT DATA'!S22)</f>
        <v/>
      </c>
      <c r="I77" s="3" t="str">
        <f>IFERROR(IF(OR(H77="",H77=0),"",DATEDIF(IF(ISNUMBER(H77),H77,DATEVALUE(H77)),DATE(VALUE(LEFT('INPUT DATA'!$F$18,4)),6,1),"Y")),"")</f>
        <v/>
      </c>
      <c r="J77" s="3" t="str">
        <f>IFERROR(IF(OR(H77="",H77=0),"",DATEDIF(IF(ISNUMBER(H77),H77,DATEVALUE(H77)),DATE(VALUE(LEFT('INPUT DATA'!$F$18,4)),6,1),"YM")),"")</f>
        <v/>
      </c>
      <c r="K77" s="3" t="str">
        <f>IFERROR(IF(OR(H77="",H77=0),"",DATEDIF(IF(ISNUMBER(H77),H77,DATEVALUE(H77)),DATE(VALUE(RIGHT('INPUT DATA'!$F$18,4)),5,31),"Y")),"")</f>
        <v/>
      </c>
      <c r="L77" s="3" t="str">
        <f>IFERROR(IF(OR(H77="",H77=0),"",DATEDIF(IF(ISNUMBER(H77),H77,DATEVALUE(H77)),DATE(VALUE(RIGHT('INPUT DATA'!$F$18,4)),5,31),"YM")),"")</f>
        <v/>
      </c>
      <c r="M77" t="str">
        <v>F</v>
      </c>
    </row>
    <row r="78" ht="15.75" customHeight="1">
      <c r="B78">
        <v>13</v>
      </c>
      <c r="C78" t="str">
        <f>IF('INPUT DATA'!Q23="","",'INPUT DATA'!Q23)</f>
        <v/>
      </c>
      <c r="F78" t="str">
        <f>IF('INPUT DATA'!R23="","",'INPUT DATA'!R23)</f>
        <v/>
      </c>
      <c r="H78" s="2" t="str">
        <f>IF('INPUT DATA'!S23="","",'INPUT DATA'!S23)</f>
        <v/>
      </c>
      <c r="I78" s="3" t="str">
        <f>IFERROR(IF(OR(H78="",H78=0),"",DATEDIF(IF(ISNUMBER(H78),H78,DATEVALUE(H78)),DATE(VALUE(LEFT('INPUT DATA'!$F$18,4)),6,1),"Y")),"")</f>
        <v/>
      </c>
      <c r="J78" s="3" t="str">
        <f>IFERROR(IF(OR(H78="",H78=0),"",DATEDIF(IF(ISNUMBER(H78),H78,DATEVALUE(H78)),DATE(VALUE(LEFT('INPUT DATA'!$F$18,4)),6,1),"YM")),"")</f>
        <v/>
      </c>
      <c r="K78" s="3" t="str">
        <f>IFERROR(IF(OR(H78="",H78=0),"",DATEDIF(IF(ISNUMBER(H78),H78,DATEVALUE(H78)),DATE(VALUE(RIGHT('INPUT DATA'!$F$18,4)),5,31),"Y")),"")</f>
        <v/>
      </c>
      <c r="L78" s="3" t="str">
        <f>IFERROR(IF(OR(H78="",H78=0),"",DATEDIF(IF(ISNUMBER(H78),H78,DATEVALUE(H78)),DATE(VALUE(RIGHT('INPUT DATA'!$F$18,4)),5,31),"YM")),"")</f>
        <v/>
      </c>
      <c r="M78" t="str">
        <v>F</v>
      </c>
    </row>
    <row r="79" ht="15.75" customHeight="1">
      <c r="B79">
        <v>14</v>
      </c>
      <c r="C79" t="str">
        <f>IF('INPUT DATA'!Q24="","",'INPUT DATA'!Q24)</f>
        <v/>
      </c>
      <c r="F79" t="str">
        <f>IF('INPUT DATA'!R24="","",'INPUT DATA'!R24)</f>
        <v/>
      </c>
      <c r="H79" s="2" t="str">
        <f>IF('INPUT DATA'!S24="","",'INPUT DATA'!S24)</f>
        <v/>
      </c>
      <c r="I79" s="3" t="str">
        <f>IFERROR(IF(OR(H79="",H79=0),"",DATEDIF(IF(ISNUMBER(H79),H79,DATEVALUE(H79)),DATE(VALUE(LEFT('INPUT DATA'!$F$18,4)),6,1),"Y")),"")</f>
        <v/>
      </c>
      <c r="J79" s="3" t="str">
        <f>IFERROR(IF(OR(H79="",H79=0),"",DATEDIF(IF(ISNUMBER(H79),H79,DATEVALUE(H79)),DATE(VALUE(LEFT('INPUT DATA'!$F$18,4)),6,1),"YM")),"")</f>
        <v/>
      </c>
      <c r="K79" s="3" t="str">
        <f>IFERROR(IF(OR(H79="",H79=0),"",DATEDIF(IF(ISNUMBER(H79),H79,DATEVALUE(H79)),DATE(VALUE(RIGHT('INPUT DATA'!$F$18,4)),5,31),"Y")),"")</f>
        <v/>
      </c>
      <c r="L79" s="3" t="str">
        <f>IFERROR(IF(OR(H79="",H79=0),"",DATEDIF(IF(ISNUMBER(H79),H79,DATEVALUE(H79)),DATE(VALUE(RIGHT('INPUT DATA'!$F$18,4)),5,31),"YM")),"")</f>
        <v/>
      </c>
      <c r="M79" t="str">
        <v>F</v>
      </c>
    </row>
    <row r="80" ht="15.75" customHeight="1">
      <c r="B80">
        <v>15</v>
      </c>
      <c r="C80" t="str">
        <f>IF('INPUT DATA'!Q25="","",'INPUT DATA'!Q25)</f>
        <v/>
      </c>
      <c r="F80" t="str">
        <f>IF('INPUT DATA'!R25="","",'INPUT DATA'!R25)</f>
        <v/>
      </c>
      <c r="H80" s="2" t="str">
        <f>IF('INPUT DATA'!S25="","",'INPUT DATA'!S25)</f>
        <v/>
      </c>
      <c r="I80" s="3" t="str">
        <f>IFERROR(IF(OR(H80="",H80=0),"",DATEDIF(IF(ISNUMBER(H80),H80,DATEVALUE(H80)),DATE(VALUE(LEFT('INPUT DATA'!$F$18,4)),6,1),"Y")),"")</f>
        <v/>
      </c>
      <c r="J80" s="3" t="str">
        <f>IFERROR(IF(OR(H80="",H80=0),"",DATEDIF(IF(ISNUMBER(H80),H80,DATEVALUE(H80)),DATE(VALUE(LEFT('INPUT DATA'!$F$18,4)),6,1),"YM")),"")</f>
        <v/>
      </c>
      <c r="K80" s="3" t="str">
        <f>IFERROR(IF(OR(H80="",H80=0),"",DATEDIF(IF(ISNUMBER(H80),H80,DATEVALUE(H80)),DATE(VALUE(RIGHT('INPUT DATA'!$F$18,4)),5,31),"Y")),"")</f>
        <v/>
      </c>
      <c r="L80" s="3" t="str">
        <f>IFERROR(IF(OR(H80="",H80=0),"",DATEDIF(IF(ISNUMBER(H80),H80,DATEVALUE(H80)),DATE(VALUE(RIGHT('INPUT DATA'!$F$18,4)),5,31),"YM")),"")</f>
        <v/>
      </c>
      <c r="M80" t="str">
        <v>F</v>
      </c>
    </row>
    <row r="81" ht="15.75" customHeight="1">
      <c r="B81">
        <v>16</v>
      </c>
      <c r="C81" t="str">
        <f>IF('INPUT DATA'!Q26="","",'INPUT DATA'!Q26)</f>
        <v/>
      </c>
      <c r="F81" t="str">
        <f>IF('INPUT DATA'!R26="","",'INPUT DATA'!R26)</f>
        <v/>
      </c>
      <c r="H81" s="2" t="str">
        <f>IF('INPUT DATA'!S26="","",'INPUT DATA'!S26)</f>
        <v/>
      </c>
      <c r="I81" s="3" t="str">
        <f>IFERROR(IF(OR(H81="",H81=0),"",DATEDIF(IF(ISNUMBER(H81),H81,DATEVALUE(H81)),DATE(VALUE(LEFT('INPUT DATA'!$F$18,4)),6,1),"Y")),"")</f>
        <v/>
      </c>
      <c r="J81" s="3" t="str">
        <f>IFERROR(IF(OR(H81="",H81=0),"",DATEDIF(IF(ISNUMBER(H81),H81,DATEVALUE(H81)),DATE(VALUE(LEFT('INPUT DATA'!$F$18,4)),6,1),"YM")),"")</f>
        <v/>
      </c>
      <c r="K81" s="3" t="str">
        <f>IFERROR(IF(OR(H81="",H81=0),"",DATEDIF(IF(ISNUMBER(H81),H81,DATEVALUE(H81)),DATE(VALUE(RIGHT('INPUT DATA'!$F$18,4)),5,31),"Y")),"")</f>
        <v/>
      </c>
      <c r="L81" s="3" t="str">
        <f>IFERROR(IF(OR(H81="",H81=0),"",DATEDIF(IF(ISNUMBER(H81),H81,DATEVALUE(H81)),DATE(VALUE(RIGHT('INPUT DATA'!$F$18,4)),5,31),"YM")),"")</f>
        <v/>
      </c>
      <c r="M81" t="str">
        <v>F</v>
      </c>
    </row>
    <row r="82" ht="15.75" customHeight="1">
      <c r="B82">
        <v>17</v>
      </c>
      <c r="C82" t="str">
        <f>IF('INPUT DATA'!Q27="","",'INPUT DATA'!Q27)</f>
        <v/>
      </c>
      <c r="F82" t="str">
        <f>IF('INPUT DATA'!R27="","",'INPUT DATA'!R27)</f>
        <v/>
      </c>
      <c r="H82" s="2" t="str">
        <f>IF('INPUT DATA'!S27="","",'INPUT DATA'!S27)</f>
        <v/>
      </c>
      <c r="I82" s="3" t="str">
        <f>IFERROR(IF(OR(H82="",H82=0),"",DATEDIF(IF(ISNUMBER(H82),H82,DATEVALUE(H82)),DATE(VALUE(LEFT('INPUT DATA'!$F$18,4)),6,1),"Y")),"")</f>
        <v/>
      </c>
      <c r="J82" s="3" t="str">
        <f>IFERROR(IF(OR(H82="",H82=0),"",DATEDIF(IF(ISNUMBER(H82),H82,DATEVALUE(H82)),DATE(VALUE(LEFT('INPUT DATA'!$F$18,4)),6,1),"YM")),"")</f>
        <v/>
      </c>
      <c r="K82" s="3" t="str">
        <f>IFERROR(IF(OR(H82="",H82=0),"",DATEDIF(IF(ISNUMBER(H82),H82,DATEVALUE(H82)),DATE(VALUE(RIGHT('INPUT DATA'!$F$18,4)),5,31),"Y")),"")</f>
        <v/>
      </c>
      <c r="L82" s="3" t="str">
        <f>IFERROR(IF(OR(H82="",H82=0),"",DATEDIF(IF(ISNUMBER(H82),H82,DATEVALUE(H82)),DATE(VALUE(RIGHT('INPUT DATA'!$F$18,4)),5,31),"YM")),"")</f>
        <v/>
      </c>
      <c r="M82" t="str">
        <v>F</v>
      </c>
    </row>
    <row r="83" ht="15.75" customHeight="1">
      <c r="B83">
        <v>18</v>
      </c>
      <c r="C83" t="str">
        <f>IF('INPUT DATA'!Q28="","",'INPUT DATA'!Q28)</f>
        <v/>
      </c>
      <c r="F83" t="str">
        <f>IF('INPUT DATA'!R28="","",'INPUT DATA'!R28)</f>
        <v/>
      </c>
      <c r="H83" s="2" t="str">
        <f>IF('INPUT DATA'!S28="","",'INPUT DATA'!S28)</f>
        <v/>
      </c>
      <c r="I83" s="3" t="str">
        <f>IFERROR(IF(OR(H83="",H83=0),"",DATEDIF(IF(ISNUMBER(H83),H83,DATEVALUE(H83)),DATE(VALUE(LEFT('INPUT DATA'!$F$18,4)),6,1),"Y")),"")</f>
        <v/>
      </c>
      <c r="J83" s="3" t="str">
        <f>IFERROR(IF(OR(H83="",H83=0),"",DATEDIF(IF(ISNUMBER(H83),H83,DATEVALUE(H83)),DATE(VALUE(LEFT('INPUT DATA'!$F$18,4)),6,1),"YM")),"")</f>
        <v/>
      </c>
      <c r="K83" s="3" t="str">
        <f>IFERROR(IF(OR(H83="",H83=0),"",DATEDIF(IF(ISNUMBER(H83),H83,DATEVALUE(H83)),DATE(VALUE(RIGHT('INPUT DATA'!$F$18,4)),5,31),"Y")),"")</f>
        <v/>
      </c>
      <c r="L83" s="3" t="str">
        <f>IFERROR(IF(OR(H83="",H83=0),"",DATEDIF(IF(ISNUMBER(H83),H83,DATEVALUE(H83)),DATE(VALUE(RIGHT('INPUT DATA'!$F$18,4)),5,31),"YM")),"")</f>
        <v/>
      </c>
      <c r="M83" t="str">
        <v>F</v>
      </c>
    </row>
    <row r="84" ht="15.75" customHeight="1">
      <c r="B84">
        <v>19</v>
      </c>
      <c r="C84" t="str">
        <f>IF('INPUT DATA'!Q29="","",'INPUT DATA'!Q29)</f>
        <v/>
      </c>
      <c r="F84" t="str">
        <f>IF('INPUT DATA'!R29="","",'INPUT DATA'!R29)</f>
        <v/>
      </c>
      <c r="H84" s="2" t="str">
        <f>IF('INPUT DATA'!S29="","",'INPUT DATA'!S29)</f>
        <v/>
      </c>
      <c r="I84" s="3" t="str">
        <f>IFERROR(IF(OR(H84="",H84=0),"",DATEDIF(IF(ISNUMBER(H84),H84,DATEVALUE(H84)),DATE(VALUE(LEFT('INPUT DATA'!$F$18,4)),6,1),"Y")),"")</f>
        <v/>
      </c>
      <c r="J84" s="3" t="str">
        <f>IFERROR(IF(OR(H84="",H84=0),"",DATEDIF(IF(ISNUMBER(H84),H84,DATEVALUE(H84)),DATE(VALUE(LEFT('INPUT DATA'!$F$18,4)),6,1),"YM")),"")</f>
        <v/>
      </c>
      <c r="K84" s="3" t="str">
        <f>IFERROR(IF(OR(H84="",H84=0),"",DATEDIF(IF(ISNUMBER(H84),H84,DATEVALUE(H84)),DATE(VALUE(RIGHT('INPUT DATA'!$F$18,4)),5,31),"Y")),"")</f>
        <v/>
      </c>
      <c r="L84" s="3" t="str">
        <f>IFERROR(IF(OR(H84="",H84=0),"",DATEDIF(IF(ISNUMBER(H84),H84,DATEVALUE(H84)),DATE(VALUE(RIGHT('INPUT DATA'!$F$18,4)),5,31),"YM")),"")</f>
        <v/>
      </c>
      <c r="M84" t="str">
        <v>F</v>
      </c>
    </row>
    <row r="85" ht="15.75" customHeight="1">
      <c r="B85">
        <v>20</v>
      </c>
      <c r="C85" t="str">
        <f>IF('INPUT DATA'!Q30="","",'INPUT DATA'!Q30)</f>
        <v/>
      </c>
      <c r="F85" t="str">
        <f>IF('INPUT DATA'!R30="","",'INPUT DATA'!R30)</f>
        <v/>
      </c>
      <c r="H85" s="2" t="str">
        <f>IF('INPUT DATA'!S30="","",'INPUT DATA'!S30)</f>
        <v/>
      </c>
      <c r="I85" s="3" t="str">
        <f>IFERROR(IF(OR(H85="",H85=0),"",DATEDIF(IF(ISNUMBER(H85),H85,DATEVALUE(H85)),DATE(VALUE(LEFT('INPUT DATA'!$F$18,4)),6,1),"Y")),"")</f>
        <v/>
      </c>
      <c r="J85" s="3" t="str">
        <f>IFERROR(IF(OR(H85="",H85=0),"",DATEDIF(IF(ISNUMBER(H85),H85,DATEVALUE(H85)),DATE(VALUE(LEFT('INPUT DATA'!$F$18,4)),6,1),"YM")),"")</f>
        <v/>
      </c>
      <c r="K85" s="3" t="str">
        <f>IFERROR(IF(OR(H85="",H85=0),"",DATEDIF(IF(ISNUMBER(H85),H85,DATEVALUE(H85)),DATE(VALUE(RIGHT('INPUT DATA'!$F$18,4)),5,31),"Y")),"")</f>
        <v/>
      </c>
      <c r="L85" s="3" t="str">
        <f>IFERROR(IF(OR(H85="",H85=0),"",DATEDIF(IF(ISNUMBER(H85),H85,DATEVALUE(H85)),DATE(VALUE(RIGHT('INPUT DATA'!$F$18,4)),5,31),"YM")),"")</f>
        <v/>
      </c>
      <c r="M85" t="str">
        <v>F</v>
      </c>
    </row>
    <row r="86" ht="15.75" customHeight="1">
      <c r="B86">
        <v>21</v>
      </c>
      <c r="C86" t="str">
        <f>IF('INPUT DATA'!Q31="","",'INPUT DATA'!Q31)</f>
        <v/>
      </c>
      <c r="F86" t="str">
        <f>IF('INPUT DATA'!R31="","",'INPUT DATA'!R31)</f>
        <v/>
      </c>
      <c r="H86" s="2" t="str">
        <f>IF('INPUT DATA'!S31="","",'INPUT DATA'!S31)</f>
        <v/>
      </c>
      <c r="I86" s="3" t="str">
        <f>IFERROR(IF(OR(H86="",H86=0),"",DATEDIF(IF(ISNUMBER(H86),H86,DATEVALUE(H86)),DATE(VALUE(LEFT('INPUT DATA'!$F$18,4)),6,1),"Y")),"")</f>
        <v/>
      </c>
      <c r="J86" s="3" t="str">
        <f>IFERROR(IF(OR(H86="",H86=0),"",DATEDIF(IF(ISNUMBER(H86),H86,DATEVALUE(H86)),DATE(VALUE(LEFT('INPUT DATA'!$F$18,4)),6,1),"YM")),"")</f>
        <v/>
      </c>
      <c r="K86" s="3" t="str">
        <f>IFERROR(IF(OR(H86="",H86=0),"",DATEDIF(IF(ISNUMBER(H86),H86,DATEVALUE(H86)),DATE(VALUE(RIGHT('INPUT DATA'!$F$18,4)),5,31),"Y")),"")</f>
        <v/>
      </c>
      <c r="L86" s="3" t="str">
        <f>IFERROR(IF(OR(H86="",H86=0),"",DATEDIF(IF(ISNUMBER(H86),H86,DATEVALUE(H86)),DATE(VALUE(RIGHT('INPUT DATA'!$F$18,4)),5,31),"YM")),"")</f>
        <v/>
      </c>
      <c r="M86" t="str">
        <v>F</v>
      </c>
    </row>
    <row r="87" ht="15.75" customHeight="1">
      <c r="B87">
        <v>22</v>
      </c>
      <c r="C87" t="str">
        <f>IF('INPUT DATA'!Q32="","",'INPUT DATA'!Q32)</f>
        <v/>
      </c>
      <c r="F87" t="str">
        <f>IF('INPUT DATA'!R32="","",'INPUT DATA'!R32)</f>
        <v/>
      </c>
      <c r="H87" s="2" t="str">
        <f>IF('INPUT DATA'!S32="","",'INPUT DATA'!S32)</f>
        <v/>
      </c>
      <c r="I87" s="3" t="str">
        <f>IFERROR(IF(OR(H87="",H87=0),"",DATEDIF(IF(ISNUMBER(H87),H87,DATEVALUE(H87)),DATE(VALUE(LEFT('INPUT DATA'!$F$18,4)),6,1),"Y")),"")</f>
        <v/>
      </c>
      <c r="J87" s="3" t="str">
        <f>IFERROR(IF(OR(H87="",H87=0),"",DATEDIF(IF(ISNUMBER(H87),H87,DATEVALUE(H87)),DATE(VALUE(LEFT('INPUT DATA'!$F$18,4)),6,1),"YM")),"")</f>
        <v/>
      </c>
      <c r="K87" s="3" t="str">
        <f>IFERROR(IF(OR(H87="",H87=0),"",DATEDIF(IF(ISNUMBER(H87),H87,DATEVALUE(H87)),DATE(VALUE(RIGHT('INPUT DATA'!$F$18,4)),5,31),"Y")),"")</f>
        <v/>
      </c>
      <c r="L87" s="3" t="str">
        <f>IFERROR(IF(OR(H87="",H87=0),"",DATEDIF(IF(ISNUMBER(H87),H87,DATEVALUE(H87)),DATE(VALUE(RIGHT('INPUT DATA'!$F$18,4)),5,31),"YM")),"")</f>
        <v/>
      </c>
      <c r="M87" t="str">
        <v>F</v>
      </c>
    </row>
    <row r="88" ht="15.75" customHeight="1">
      <c r="B88">
        <v>23</v>
      </c>
      <c r="C88" t="str">
        <f>IF('INPUT DATA'!Q33="","",'INPUT DATA'!Q33)</f>
        <v/>
      </c>
      <c r="F88" t="str">
        <f>IF('INPUT DATA'!R33="","",'INPUT DATA'!R33)</f>
        <v/>
      </c>
      <c r="H88" s="2" t="str">
        <f>IF('INPUT DATA'!S33="","",'INPUT DATA'!S33)</f>
        <v/>
      </c>
      <c r="I88" s="3" t="str">
        <f>IFERROR(IF(OR(H88="",H88=0),"",DATEDIF(IF(ISNUMBER(H88),H88,DATEVALUE(H88)),DATE(VALUE(LEFT('INPUT DATA'!$F$18,4)),6,1),"Y")),"")</f>
        <v/>
      </c>
      <c r="J88" s="3" t="str">
        <f>IFERROR(IF(OR(H88="",H88=0),"",DATEDIF(IF(ISNUMBER(H88),H88,DATEVALUE(H88)),DATE(VALUE(LEFT('INPUT DATA'!$F$18,4)),6,1),"YM")),"")</f>
        <v/>
      </c>
      <c r="K88" s="3" t="str">
        <f>IFERROR(IF(OR(H88="",H88=0),"",DATEDIF(IF(ISNUMBER(H88),H88,DATEVALUE(H88)),DATE(VALUE(RIGHT('INPUT DATA'!$F$18,4)),5,31),"Y")),"")</f>
        <v/>
      </c>
      <c r="L88" s="3" t="str">
        <f>IFERROR(IF(OR(H88="",H88=0),"",DATEDIF(IF(ISNUMBER(H88),H88,DATEVALUE(H88)),DATE(VALUE(RIGHT('INPUT DATA'!$F$18,4)),5,31),"YM")),"")</f>
        <v/>
      </c>
      <c r="M88" t="str">
        <v>F</v>
      </c>
    </row>
    <row r="89" ht="15.75" customHeight="1">
      <c r="B89">
        <v>24</v>
      </c>
      <c r="C89" t="str">
        <f>IF('INPUT DATA'!Q34="","",'INPUT DATA'!Q34)</f>
        <v/>
      </c>
      <c r="F89" t="str">
        <f>IF('INPUT DATA'!R34="","",'INPUT DATA'!R34)</f>
        <v/>
      </c>
      <c r="H89" s="2" t="str">
        <f>IF('INPUT DATA'!S34="","",'INPUT DATA'!S34)</f>
        <v/>
      </c>
      <c r="I89" s="3" t="str">
        <f>IFERROR(IF(OR(H89="",H89=0),"",DATEDIF(IF(ISNUMBER(H89),H89,DATEVALUE(H89)),DATE(VALUE(LEFT('INPUT DATA'!$F$18,4)),6,1),"Y")),"")</f>
        <v/>
      </c>
      <c r="J89" s="3" t="str">
        <f>IFERROR(IF(OR(H89="",H89=0),"",DATEDIF(IF(ISNUMBER(H89),H89,DATEVALUE(H89)),DATE(VALUE(LEFT('INPUT DATA'!$F$18,4)),6,1),"YM")),"")</f>
        <v/>
      </c>
      <c r="K89" s="3" t="str">
        <f>IFERROR(IF(OR(H89="",H89=0),"",DATEDIF(IF(ISNUMBER(H89),H89,DATEVALUE(H89)),DATE(VALUE(RIGHT('INPUT DATA'!$F$18,4)),5,31),"Y")),"")</f>
        <v/>
      </c>
      <c r="L89" s="3" t="str">
        <f>IFERROR(IF(OR(H89="",H89=0),"",DATEDIF(IF(ISNUMBER(H89),H89,DATEVALUE(H89)),DATE(VALUE(RIGHT('INPUT DATA'!$F$18,4)),5,31),"YM")),"")</f>
        <v/>
      </c>
      <c r="M89" t="str">
        <v>F</v>
      </c>
    </row>
    <row r="90" ht="15.75" customHeight="1">
      <c r="B90">
        <v>25</v>
      </c>
      <c r="C90" t="str">
        <f>IF('INPUT DATA'!Q35="","",'INPUT DATA'!Q35)</f>
        <v/>
      </c>
      <c r="F90" t="str">
        <f>IF('INPUT DATA'!R35="","",'INPUT DATA'!R35)</f>
        <v/>
      </c>
      <c r="H90" s="2" t="str">
        <f>IF('INPUT DATA'!S35="","",'INPUT DATA'!S35)</f>
        <v/>
      </c>
      <c r="I90" s="3" t="str">
        <f>IFERROR(IF(OR(H90="",H90=0),"",DATEDIF(IF(ISNUMBER(H90),H90,DATEVALUE(H90)),DATE(VALUE(LEFT('INPUT DATA'!$F$18,4)),6,1),"Y")),"")</f>
        <v/>
      </c>
      <c r="J90" s="3" t="str">
        <f>IFERROR(IF(OR(H90="",H90=0),"",DATEDIF(IF(ISNUMBER(H90),H90,DATEVALUE(H90)),DATE(VALUE(LEFT('INPUT DATA'!$F$18,4)),6,1),"YM")),"")</f>
        <v/>
      </c>
      <c r="K90" s="3" t="str">
        <f>IFERROR(IF(OR(H90="",H90=0),"",DATEDIF(IF(ISNUMBER(H90),H90,DATEVALUE(H90)),DATE(VALUE(RIGHT('INPUT DATA'!$F$18,4)),5,31),"Y")),"")</f>
        <v/>
      </c>
      <c r="L90" s="3" t="str">
        <f>IFERROR(IF(OR(H90="",H90=0),"",DATEDIF(IF(ISNUMBER(H90),H90,DATEVALUE(H90)),DATE(VALUE(RIGHT('INPUT DATA'!$F$18,4)),5,31),"YM")),"")</f>
        <v/>
      </c>
      <c r="M90" t="str">
        <v>F</v>
      </c>
    </row>
    <row r="91" ht="15.75" customHeight="1">
      <c r="B91">
        <v>26</v>
      </c>
      <c r="C91" t="str">
        <f>IF('INPUT DATA'!Q36="","",'INPUT DATA'!Q36)</f>
        <v/>
      </c>
      <c r="F91" t="str">
        <f>IF('INPUT DATA'!R36="","",'INPUT DATA'!R36)</f>
        <v/>
      </c>
      <c r="H91" s="2" t="str">
        <f>IF('INPUT DATA'!S36="","",'INPUT DATA'!S36)</f>
        <v/>
      </c>
      <c r="I91" s="3" t="str">
        <f>IFERROR(IF(OR(H91="",H91=0),"",DATEDIF(IF(ISNUMBER(H91),H91,DATEVALUE(H91)),DATE(VALUE(LEFT('INPUT DATA'!$F$18,4)),6,1),"Y")),"")</f>
        <v/>
      </c>
      <c r="J91" s="3" t="str">
        <f>IFERROR(IF(OR(H91="",H91=0),"",DATEDIF(IF(ISNUMBER(H91),H91,DATEVALUE(H91)),DATE(VALUE(LEFT('INPUT DATA'!$F$18,4)),6,1),"YM")),"")</f>
        <v/>
      </c>
      <c r="K91" s="3" t="str">
        <f>IFERROR(IF(OR(H91="",H91=0),"",DATEDIF(IF(ISNUMBER(H91),H91,DATEVALUE(H91)),DATE(VALUE(RIGHT('INPUT DATA'!$F$18,4)),5,31),"Y")),"")</f>
        <v/>
      </c>
      <c r="L91" s="3" t="str">
        <f>IFERROR(IF(OR(H91="",H91=0),"",DATEDIF(IF(ISNUMBER(H91),H91,DATEVALUE(H91)),DATE(VALUE(RIGHT('INPUT DATA'!$F$18,4)),5,31),"YM")),"")</f>
        <v/>
      </c>
      <c r="M91" t="str">
        <v>F</v>
      </c>
    </row>
    <row r="92" ht="15.75" customHeight="1">
      <c r="B92">
        <v>27</v>
      </c>
      <c r="C92" t="str">
        <f>IF('INPUT DATA'!Q37="","",'INPUT DATA'!Q37)</f>
        <v/>
      </c>
      <c r="F92" t="str">
        <f>IF('INPUT DATA'!R37="","",'INPUT DATA'!R37)</f>
        <v/>
      </c>
      <c r="H92" s="2" t="str">
        <f>IF('INPUT DATA'!S37="","",'INPUT DATA'!S37)</f>
        <v/>
      </c>
      <c r="I92" s="3" t="str">
        <f>IFERROR(IF(OR(H92="",H92=0),"",DATEDIF(IF(ISNUMBER(H92),H92,DATEVALUE(H92)),DATE(VALUE(LEFT('INPUT DATA'!$F$18,4)),6,1),"Y")),"")</f>
        <v/>
      </c>
      <c r="J92" s="3" t="str">
        <f>IFERROR(IF(OR(H92="",H92=0),"",DATEDIF(IF(ISNUMBER(H92),H92,DATEVALUE(H92)),DATE(VALUE(LEFT('INPUT DATA'!$F$18,4)),6,1),"YM")),"")</f>
        <v/>
      </c>
      <c r="K92" s="3" t="str">
        <f>IFERROR(IF(OR(H92="",H92=0),"",DATEDIF(IF(ISNUMBER(H92),H92,DATEVALUE(H92)),DATE(VALUE(RIGHT('INPUT DATA'!$F$18,4)),5,31),"Y")),"")</f>
        <v/>
      </c>
      <c r="L92" s="3" t="str">
        <f>IFERROR(IF(OR(H92="",H92=0),"",DATEDIF(IF(ISNUMBER(H92),H92,DATEVALUE(H92)),DATE(VALUE(RIGHT('INPUT DATA'!$F$18,4)),5,31),"YM")),"")</f>
        <v/>
      </c>
      <c r="M92" t="str">
        <v>F</v>
      </c>
    </row>
    <row r="93" ht="15.75" customHeight="1">
      <c r="B93">
        <v>28</v>
      </c>
      <c r="C93" t="str">
        <f>IF('INPUT DATA'!Q38="","",'INPUT DATA'!Q38)</f>
        <v/>
      </c>
      <c r="F93" t="str">
        <f>IF('INPUT DATA'!R38="","",'INPUT DATA'!R38)</f>
        <v/>
      </c>
      <c r="H93" s="2" t="str">
        <f>IF('INPUT DATA'!S38="","",'INPUT DATA'!S38)</f>
        <v/>
      </c>
      <c r="I93" s="3" t="str">
        <f>IFERROR(IF(OR(H93="",H93=0),"",DATEDIF(IF(ISNUMBER(H93),H93,DATEVALUE(H93)),DATE(VALUE(LEFT('INPUT DATA'!$F$18,4)),6,1),"Y")),"")</f>
        <v/>
      </c>
      <c r="J93" s="3" t="str">
        <f>IFERROR(IF(OR(H93="",H93=0),"",DATEDIF(IF(ISNUMBER(H93),H93,DATEVALUE(H93)),DATE(VALUE(LEFT('INPUT DATA'!$F$18,4)),6,1),"YM")),"")</f>
        <v/>
      </c>
      <c r="K93" s="3" t="str">
        <f>IFERROR(IF(OR(H93="",H93=0),"",DATEDIF(IF(ISNUMBER(H93),H93,DATEVALUE(H93)),DATE(VALUE(RIGHT('INPUT DATA'!$F$18,4)),5,31),"Y")),"")</f>
        <v/>
      </c>
      <c r="L93" s="3" t="str">
        <f>IFERROR(IF(OR(H93="",H93=0),"",DATEDIF(IF(ISNUMBER(H93),H93,DATEVALUE(H93)),DATE(VALUE(RIGHT('INPUT DATA'!$F$18,4)),5,31),"YM")),"")</f>
        <v/>
      </c>
      <c r="M93" t="str">
        <v>F</v>
      </c>
    </row>
    <row r="94" ht="15.75" customHeight="1">
      <c r="B94">
        <v>29</v>
      </c>
      <c r="C94" t="str">
        <f>IF('INPUT DATA'!Q39="","",'INPUT DATA'!Q39)</f>
        <v/>
      </c>
      <c r="F94" t="str">
        <f>IF('INPUT DATA'!R39="","",'INPUT DATA'!R39)</f>
        <v/>
      </c>
      <c r="H94" s="2" t="str">
        <f>IF('INPUT DATA'!S39="","",'INPUT DATA'!S39)</f>
        <v/>
      </c>
      <c r="I94" s="3" t="str">
        <f>IFERROR(IF(OR(H94="",H94=0),"",DATEDIF(IF(ISNUMBER(H94),H94,DATEVALUE(H94)),DATE(VALUE(LEFT('INPUT DATA'!$F$18,4)),6,1),"Y")),"")</f>
        <v/>
      </c>
      <c r="J94" s="3" t="str">
        <f>IFERROR(IF(OR(H94="",H94=0),"",DATEDIF(IF(ISNUMBER(H94),H94,DATEVALUE(H94)),DATE(VALUE(LEFT('INPUT DATA'!$F$18,4)),6,1),"YM")),"")</f>
        <v/>
      </c>
      <c r="K94" s="3" t="str">
        <f>IFERROR(IF(OR(H94="",H94=0),"",DATEDIF(IF(ISNUMBER(H94),H94,DATEVALUE(H94)),DATE(VALUE(RIGHT('INPUT DATA'!$F$18,4)),5,31),"Y")),"")</f>
        <v/>
      </c>
      <c r="L94" s="3" t="str">
        <f>IFERROR(IF(OR(H94="",H94=0),"",DATEDIF(IF(ISNUMBER(H94),H94,DATEVALUE(H94)),DATE(VALUE(RIGHT('INPUT DATA'!$F$18,4)),5,31),"YM")),"")</f>
        <v/>
      </c>
      <c r="M94" t="str">
        <v>F</v>
      </c>
    </row>
    <row r="95" ht="15.75" customHeight="1">
      <c r="B95">
        <v>31</v>
      </c>
      <c r="C95" t="str">
        <f>IF('INPUT DATA'!Q40="","",'INPUT DATA'!Q40)</f>
        <v/>
      </c>
      <c r="F95" t="str">
        <f>IF('INPUT DATA'!R40="","",'INPUT DATA'!R40)</f>
        <v/>
      </c>
      <c r="H95" s="2" t="str">
        <f>IF('INPUT DATA'!S40="","",'INPUT DATA'!S40)</f>
        <v/>
      </c>
      <c r="I95" s="3" t="str">
        <f>IFERROR(IF(OR(H95="",H95=0),"",DATEDIF(IF(ISNUMBER(H95),H95,DATEVALUE(H95)),DATE(VALUE(LEFT('INPUT DATA'!$F$18,4)),6,1),"Y")),"")</f>
        <v/>
      </c>
      <c r="J95" s="3" t="str">
        <f>IFERROR(IF(OR(H95="",H95=0),"",DATEDIF(IF(ISNUMBER(H95),H95,DATEVALUE(H95)),DATE(VALUE(LEFT('INPUT DATA'!$F$18,4)),6,1),"YM")),"")</f>
        <v/>
      </c>
      <c r="K95" s="3" t="str">
        <f>IFERROR(IF(OR(H95="",H95=0),"",DATEDIF(IF(ISNUMBER(H95),H95,DATEVALUE(H95)),DATE(VALUE(RIGHT('INPUT DATA'!$F$18,4)),5,31),"Y")),"")</f>
        <v/>
      </c>
      <c r="L95" s="3" t="str">
        <f>IFERROR(IF(OR(H95="",H95=0),"",DATEDIF(IF(ISNUMBER(H95),H95,DATEVALUE(H95)),DATE(VALUE(RIGHT('INPUT DATA'!$F$18,4)),5,31),"YM")),"")</f>
        <v/>
      </c>
      <c r="M95" t="str">
        <v>F</v>
      </c>
    </row>
    <row r="96" ht="15.75" customHeight="1">
      <c r="B96">
        <v>32</v>
      </c>
      <c r="C96" t="str">
        <f>IF('INPUT DATA'!Q41="","",'INPUT DATA'!Q41)</f>
        <v/>
      </c>
      <c r="F96" t="str">
        <f>IF('INPUT DATA'!R41="","",'INPUT DATA'!R41)</f>
        <v/>
      </c>
      <c r="H96" s="2" t="str">
        <f>IF('INPUT DATA'!S41="","",'INPUT DATA'!S41)</f>
        <v/>
      </c>
      <c r="I96" s="3" t="str">
        <f>IFERROR(IF(OR(H96="",H96=0),"",DATEDIF(IF(ISNUMBER(H96),H96,DATEVALUE(H96)),DATE(VALUE(LEFT('INPUT DATA'!$F$18,4)),6,1),"Y")),"")</f>
        <v/>
      </c>
      <c r="J96" s="3" t="str">
        <f>IFERROR(IF(OR(H96="",H96=0),"",DATEDIF(IF(ISNUMBER(H96),H96,DATEVALUE(H96)),DATE(VALUE(LEFT('INPUT DATA'!$F$18,4)),6,1),"YM")),"")</f>
        <v/>
      </c>
      <c r="K96" s="3" t="str">
        <f>IFERROR(IF(OR(H96="",H96=0),"",DATEDIF(IF(ISNUMBER(H96),H96,DATEVALUE(H96)),DATE(VALUE(RIGHT('INPUT DATA'!$F$18,4)),5,31),"Y")),"")</f>
        <v/>
      </c>
      <c r="L96" s="3" t="str">
        <f>IFERROR(IF(OR(H96="",H96=0),"",DATEDIF(IF(ISNUMBER(H96),H96,DATEVALUE(H96)),DATE(VALUE(RIGHT('INPUT DATA'!$F$18,4)),5,31),"YM")),"")</f>
        <v/>
      </c>
      <c r="M96" t="str">
        <v>F</v>
      </c>
    </row>
    <row r="97" ht="15.75" customHeight="1">
      <c r="B97">
        <v>33</v>
      </c>
      <c r="C97" t="str">
        <f>IF('INPUT DATA'!Q42="","",'INPUT DATA'!Q42)</f>
        <v/>
      </c>
      <c r="F97" t="str">
        <f>IF('INPUT DATA'!R42="","",'INPUT DATA'!R42)</f>
        <v/>
      </c>
      <c r="H97" s="2" t="str">
        <f>IF('INPUT DATA'!S42="","",'INPUT DATA'!S42)</f>
        <v/>
      </c>
      <c r="I97" s="3" t="str">
        <f>IFERROR(IF(OR(H97="",H97=0),"",DATEDIF(IF(ISNUMBER(H97),H97,DATEVALUE(H97)),DATE(VALUE(LEFT('INPUT DATA'!$F$18,4)),6,1),"Y")),"")</f>
        <v/>
      </c>
      <c r="J97" s="3" t="str">
        <f>IFERROR(IF(OR(H97="",H97=0),"",DATEDIF(IF(ISNUMBER(H97),H97,DATEVALUE(H97)),DATE(VALUE(LEFT('INPUT DATA'!$F$18,4)),6,1),"YM")),"")</f>
        <v/>
      </c>
      <c r="K97" s="3" t="str">
        <f>IFERROR(IF(OR(H97="",H97=0),"",DATEDIF(IF(ISNUMBER(H97),H97,DATEVALUE(H97)),DATE(VALUE(RIGHT('INPUT DATA'!$F$18,4)),5,31),"Y")),"")</f>
        <v/>
      </c>
      <c r="L97" s="3" t="str">
        <f>IFERROR(IF(OR(H97="",H97=0),"",DATEDIF(IF(ISNUMBER(H97),H97,DATEVALUE(H97)),DATE(VALUE(RIGHT('INPUT DATA'!$F$18,4)),5,31),"YM")),"")</f>
        <v/>
      </c>
      <c r="M97" t="str">
        <v>F</v>
      </c>
    </row>
    <row r="98" ht="15.75" customHeight="1">
      <c r="B98">
        <v>34</v>
      </c>
      <c r="C98" t="str">
        <f>IF('INPUT DATA'!Q43="","",'INPUT DATA'!Q43)</f>
        <v/>
      </c>
      <c r="F98" t="str">
        <f>IF('INPUT DATA'!R43="","",'INPUT DATA'!R43)</f>
        <v/>
      </c>
      <c r="H98" s="2" t="str">
        <f>IF('INPUT DATA'!S43="","",'INPUT DATA'!S43)</f>
        <v/>
      </c>
      <c r="I98" s="3" t="str">
        <f>IFERROR(IF(OR(H98="",H98=0),"",DATEDIF(IF(ISNUMBER(H98),H98,DATEVALUE(H98)),DATE(VALUE(LEFT('INPUT DATA'!$F$18,4)),6,1),"Y")),"")</f>
        <v/>
      </c>
      <c r="J98" s="3" t="str">
        <f>IFERROR(IF(OR(H98="",H98=0),"",DATEDIF(IF(ISNUMBER(H98),H98,DATEVALUE(H98)),DATE(VALUE(LEFT('INPUT DATA'!$F$18,4)),6,1),"YM")),"")</f>
        <v/>
      </c>
      <c r="K98" s="3" t="str">
        <f>IFERROR(IF(OR(H98="",H98=0),"",DATEDIF(IF(ISNUMBER(H98),H98,DATEVALUE(H98)),DATE(VALUE(RIGHT('INPUT DATA'!$F$18,4)),5,31),"Y")),"")</f>
        <v/>
      </c>
      <c r="L98" s="3" t="str">
        <f>IFERROR(IF(OR(H98="",H98=0),"",DATEDIF(IF(ISNUMBER(H98),H98,DATEVALUE(H98)),DATE(VALUE(RIGHT('INPUT DATA'!$F$18,4)),5,31),"YM")),"")</f>
        <v/>
      </c>
      <c r="M98" t="str">
        <v>F</v>
      </c>
    </row>
    <row r="99" ht="15.75" customHeight="1">
      <c r="B99">
        <v>35</v>
      </c>
      <c r="C99" t="str">
        <f>IF('INPUT DATA'!Q44="","",'INPUT DATA'!Q44)</f>
        <v/>
      </c>
      <c r="F99" t="str">
        <f>IF('INPUT DATA'!R44="","",'INPUT DATA'!R44)</f>
        <v/>
      </c>
      <c r="H99" s="2" t="str">
        <f>IF('INPUT DATA'!S44="","",'INPUT DATA'!S44)</f>
        <v/>
      </c>
      <c r="I99" s="3" t="str">
        <f>IFERROR(IF(OR(H99="",H99=0),"",DATEDIF(IF(ISNUMBER(H99),H99,DATEVALUE(H99)),DATE(VALUE(LEFT('INPUT DATA'!$F$18,4)),6,1),"Y")),"")</f>
        <v/>
      </c>
      <c r="J99" s="3" t="str">
        <f>IFERROR(IF(OR(H99="",H99=0),"",DATEDIF(IF(ISNUMBER(H99),H99,DATEVALUE(H99)),DATE(VALUE(LEFT('INPUT DATA'!$F$18,4)),6,1),"YM")),"")</f>
        <v/>
      </c>
      <c r="K99" s="3" t="str">
        <f>IFERROR(IF(OR(H99="",H99=0),"",DATEDIF(IF(ISNUMBER(H99),H99,DATEVALUE(H99)),DATE(VALUE(RIGHT('INPUT DATA'!$F$18,4)),5,31),"Y")),"")</f>
        <v/>
      </c>
      <c r="L99" s="3" t="str">
        <f>IFERROR(IF(OR(H99="",H99=0),"",DATEDIF(IF(ISNUMBER(H99),H99,DATEVALUE(H99)),DATE(VALUE(RIGHT('INPUT DATA'!$F$18,4)),5,31),"YM")),"")</f>
        <v/>
      </c>
      <c r="M99" t="str">
        <v>F</v>
      </c>
    </row>
    <row r="100" ht="15.75" customHeight="1">
      <c r="B100">
        <v>36</v>
      </c>
      <c r="C100" t="str">
        <f>IF('INPUT DATA'!Q45="","",'INPUT DATA'!Q45)</f>
        <v/>
      </c>
      <c r="F100" t="str">
        <f>IF('INPUT DATA'!R45="","",'INPUT DATA'!R45)</f>
        <v/>
      </c>
      <c r="H100" s="2" t="str">
        <f>IF('INPUT DATA'!S45="","",'INPUT DATA'!S45)</f>
        <v/>
      </c>
      <c r="I100" s="3" t="str">
        <f>IFERROR(IF(OR(H100="",H100=0),"",DATEDIF(IF(ISNUMBER(H100),H100,DATEVALUE(H100)),DATE(VALUE(LEFT('INPUT DATA'!$F$18,4)),6,1),"Y")),"")</f>
        <v/>
      </c>
      <c r="J100" s="3" t="str">
        <f>IFERROR(IF(OR(H100="",H100=0),"",DATEDIF(IF(ISNUMBER(H100),H100,DATEVALUE(H100)),DATE(VALUE(LEFT('INPUT DATA'!$F$18,4)),6,1),"YM")),"")</f>
        <v/>
      </c>
      <c r="K100" s="3" t="str">
        <f>IFERROR(IF(OR(H100="",H100=0),"",DATEDIF(IF(ISNUMBER(H100),H100,DATEVALUE(H100)),DATE(VALUE(RIGHT('INPUT DATA'!$F$18,4)),5,31),"Y")),"")</f>
        <v/>
      </c>
      <c r="L100" s="3" t="str">
        <f>IFERROR(IF(OR(H100="",H100=0),"",DATEDIF(IF(ISNUMBER(H100),H100,DATEVALUE(H100)),DATE(VALUE(RIGHT('INPUT DATA'!$F$18,4)),5,31),"YM")),"")</f>
        <v/>
      </c>
      <c r="M100" t="str">
        <v>F</v>
      </c>
    </row>
    <row r="101" ht="15.75" customHeight="1">
      <c r="B101">
        <v>37</v>
      </c>
      <c r="C101" t="str">
        <f>IF('INPUT DATA'!Q46="","",'INPUT DATA'!Q46)</f>
        <v/>
      </c>
      <c r="F101" t="str">
        <f>IF('INPUT DATA'!R46="","",'INPUT DATA'!R46)</f>
        <v/>
      </c>
      <c r="H101" s="2" t="str">
        <f>IF('INPUT DATA'!S46="","",'INPUT DATA'!S46)</f>
        <v/>
      </c>
      <c r="I101" s="3" t="str">
        <f>IFERROR(IF(OR(H101="",H101=0),"",DATEDIF(IF(ISNUMBER(H101),H101,DATEVALUE(H101)),DATE(VALUE(LEFT('INPUT DATA'!$F$18,4)),6,1),"Y")),"")</f>
        <v/>
      </c>
      <c r="J101" s="3" t="str">
        <f>IFERROR(IF(OR(H101="",H101=0),"",DATEDIF(IF(ISNUMBER(H101),H101,DATEVALUE(H101)),DATE(VALUE(LEFT('INPUT DATA'!$F$18,4)),6,1),"YM")),"")</f>
        <v/>
      </c>
      <c r="K101" s="3" t="str">
        <f>IFERROR(IF(OR(H101="",H101=0),"",DATEDIF(IF(ISNUMBER(H101),H101,DATEVALUE(H101)),DATE(VALUE(RIGHT('INPUT DATA'!$F$18,4)),5,31),"Y")),"")</f>
        <v/>
      </c>
      <c r="L101" s="3" t="str">
        <f>IFERROR(IF(OR(H101="",H101=0),"",DATEDIF(IF(ISNUMBER(H101),H101,DATEVALUE(H101)),DATE(VALUE(RIGHT('INPUT DATA'!$F$18,4)),5,31),"YM")),"")</f>
        <v/>
      </c>
      <c r="M101" t="str">
        <v>F</v>
      </c>
    </row>
    <row r="102" ht="15.75" customHeight="1">
      <c r="B102">
        <v>38</v>
      </c>
      <c r="C102" t="str">
        <f>IF('INPUT DATA'!Q47="","",'INPUT DATA'!Q47)</f>
        <v/>
      </c>
      <c r="F102" t="str">
        <f>IF('INPUT DATA'!R47="","",'INPUT DATA'!R47)</f>
        <v/>
      </c>
      <c r="H102" s="2" t="str">
        <f>IF('INPUT DATA'!S47="","",'INPUT DATA'!S47)</f>
        <v/>
      </c>
      <c r="I102" s="3" t="str">
        <f>IFERROR(IF(OR(H102="",H102=0),"",DATEDIF(IF(ISNUMBER(H102),H102,DATEVALUE(H102)),DATE(VALUE(LEFT('INPUT DATA'!$F$18,4)),6,1),"Y")),"")</f>
        <v/>
      </c>
      <c r="J102" s="3" t="str">
        <f>IFERROR(IF(OR(H102="",H102=0),"",DATEDIF(IF(ISNUMBER(H102),H102,DATEVALUE(H102)),DATE(VALUE(LEFT('INPUT DATA'!$F$18,4)),6,1),"YM")),"")</f>
        <v/>
      </c>
      <c r="K102" s="3" t="str">
        <f>IFERROR(IF(OR(H102="",H102=0),"",DATEDIF(IF(ISNUMBER(H102),H102,DATEVALUE(H102)),DATE(VALUE(RIGHT('INPUT DATA'!$F$18,4)),5,31),"Y")),"")</f>
        <v/>
      </c>
      <c r="L102" s="3" t="str">
        <f>IFERROR(IF(OR(H102="",H102=0),"",DATEDIF(IF(ISNUMBER(H102),H102,DATEVALUE(H102)),DATE(VALUE(RIGHT('INPUT DATA'!$F$18,4)),5,31),"YM")),"")</f>
        <v/>
      </c>
      <c r="M102" t="str">
        <v>F</v>
      </c>
    </row>
    <row r="103" ht="15.75" customHeight="1">
      <c r="B103">
        <v>39</v>
      </c>
      <c r="C103" t="str">
        <f>IF('INPUT DATA'!Q48="","",'INPUT DATA'!Q48)</f>
        <v/>
      </c>
      <c r="F103" t="str">
        <f>IF('INPUT DATA'!R48="","",'INPUT DATA'!R48)</f>
        <v/>
      </c>
      <c r="H103" s="2" t="str">
        <f>IF('INPUT DATA'!S48="","",'INPUT DATA'!S48)</f>
        <v/>
      </c>
      <c r="I103" s="3" t="str">
        <f>IFERROR(IF(OR(H103="",H103=0),"",DATEDIF(IF(ISNUMBER(H103),H103,DATEVALUE(H103)),DATE(VALUE(LEFT('INPUT DATA'!$F$18,4)),6,1),"Y")),"")</f>
        <v/>
      </c>
      <c r="J103" s="3" t="str">
        <f>IFERROR(IF(OR(H103="",H103=0),"",DATEDIF(IF(ISNUMBER(H103),H103,DATEVALUE(H103)),DATE(VALUE(LEFT('INPUT DATA'!$F$18,4)),6,1),"YM")),"")</f>
        <v/>
      </c>
      <c r="K103" s="3" t="str">
        <f>IFERROR(IF(OR(H103="",H103=0),"",DATEDIF(IF(ISNUMBER(H103),H103,DATEVALUE(H103)),DATE(VALUE(RIGHT('INPUT DATA'!$F$18,4)),5,31),"Y")),"")</f>
        <v/>
      </c>
      <c r="L103" s="3" t="str">
        <f>IFERROR(IF(OR(H103="",H103=0),"",DATEDIF(IF(ISNUMBER(H103),H103,DATEVALUE(H103)),DATE(VALUE(RIGHT('INPUT DATA'!$F$18,4)),5,31),"YM")),"")</f>
        <v/>
      </c>
      <c r="M103" t="str">
        <v>F</v>
      </c>
    </row>
    <row r="104" ht="15.75" customHeight="1">
      <c r="B104">
        <v>40</v>
      </c>
      <c r="C104" t="str">
        <f>IF('INPUT DATA'!Q49="","",'INPUT DATA'!Q49)</f>
        <v/>
      </c>
      <c r="F104" t="str">
        <f>IF('INPUT DATA'!R49="","",'INPUT DATA'!R49)</f>
        <v/>
      </c>
      <c r="H104" s="2" t="str">
        <f>IF('INPUT DATA'!S49="","",'INPUT DATA'!S49)</f>
        <v/>
      </c>
      <c r="I104" s="3" t="str">
        <f>IFERROR(IF(OR(H104="",H104=0),"",DATEDIF(IF(ISNUMBER(H104),H104,DATEVALUE(H104)),DATE(VALUE(LEFT('INPUT DATA'!$F$18,4)),6,1),"Y")),"")</f>
        <v/>
      </c>
      <c r="J104" s="3" t="str">
        <f>IFERROR(IF(OR(H104="",H104=0),"",DATEDIF(IF(ISNUMBER(H104),H104,DATEVALUE(H104)),DATE(VALUE(LEFT('INPUT DATA'!$F$18,4)),6,1),"YM")),"")</f>
        <v/>
      </c>
      <c r="K104" s="3" t="str">
        <f>IFERROR(IF(OR(H104="",H104=0),"",DATEDIF(IF(ISNUMBER(H104),H104,DATEVALUE(H104)),DATE(VALUE(RIGHT('INPUT DATA'!$F$18,4)),5,31),"Y")),"")</f>
        <v/>
      </c>
      <c r="L104" s="3" t="str">
        <f>IFERROR(IF(OR(H104="",H104=0),"",DATEDIF(IF(ISNUMBER(H104),H104,DATEVALUE(H104)),DATE(VALUE(RIGHT('INPUT DATA'!$F$18,4)),5,31),"YM")),"")</f>
        <v/>
      </c>
      <c r="M104" t="str">
        <v>F</v>
      </c>
    </row>
    <row r="105" ht="15.75" customHeight="1">
      <c r="B105">
        <v>41</v>
      </c>
      <c r="C105" t="str">
        <f>IF('INPUT DATA'!Q50="","",'INPUT DATA'!Q50)</f>
        <v/>
      </c>
      <c r="F105" t="str">
        <f>IF('INPUT DATA'!R50="","",'INPUT DATA'!R50)</f>
        <v/>
      </c>
      <c r="H105" s="2" t="str">
        <f>IF('INPUT DATA'!S50="","",'INPUT DATA'!S50)</f>
        <v/>
      </c>
      <c r="I105" s="3" t="str">
        <f>IFERROR(IF(OR(H105="",H105=0),"",DATEDIF(IF(ISNUMBER(H105),H105,DATEVALUE(H105)),DATE(VALUE(LEFT('INPUT DATA'!$F$18,4)),6,1),"Y")),"")</f>
        <v/>
      </c>
      <c r="J105" s="3" t="str">
        <f>IFERROR(IF(OR(H105="",H105=0),"",DATEDIF(IF(ISNUMBER(H105),H105,DATEVALUE(H105)),DATE(VALUE(LEFT('INPUT DATA'!$F$18,4)),6,1),"YM")),"")</f>
        <v/>
      </c>
      <c r="K105" s="3" t="str">
        <f>IFERROR(IF(OR(H105="",H105=0),"",DATEDIF(IF(ISNUMBER(H105),H105,DATEVALUE(H105)),DATE(VALUE(RIGHT('INPUT DATA'!$F$18,4)),5,31),"Y")),"")</f>
        <v/>
      </c>
      <c r="L105" s="3" t="str">
        <f>IFERROR(IF(OR(H105="",H105=0),"",DATEDIF(IF(ISNUMBER(H105),H105,DATEVALUE(H105)),DATE(VALUE(RIGHT('INPUT DATA'!$F$18,4)),5,31),"YM")),"")</f>
        <v/>
      </c>
      <c r="M105" t="str">
        <v>F</v>
      </c>
    </row>
    <row r="106" ht="15.75" customHeight="1">
      <c r="B106">
        <v>42</v>
      </c>
      <c r="C106" t="str">
        <f>IF('INPUT DATA'!Q51="","",'INPUT DATA'!Q51)</f>
        <v/>
      </c>
      <c r="F106" t="str">
        <f>IF('INPUT DATA'!R51="","",'INPUT DATA'!R51)</f>
        <v/>
      </c>
      <c r="H106" s="2" t="str">
        <f>IF('INPUT DATA'!S51="","",'INPUT DATA'!S51)</f>
        <v/>
      </c>
      <c r="I106" s="3" t="str">
        <f>IFERROR(IF(OR(H106="",H106=0),"",DATEDIF(IF(ISNUMBER(H106),H106,DATEVALUE(H106)),DATE(VALUE(LEFT('INPUT DATA'!$F$18,4)),6,1),"Y")),"")</f>
        <v/>
      </c>
      <c r="J106" s="3" t="str">
        <f>IFERROR(IF(OR(H106="",H106=0),"",DATEDIF(IF(ISNUMBER(H106),H106,DATEVALUE(H106)),DATE(VALUE(LEFT('INPUT DATA'!$F$18,4)),6,1),"YM")),"")</f>
        <v/>
      </c>
      <c r="K106" s="3" t="str">
        <f>IFERROR(IF(OR(H106="",H106=0),"",DATEDIF(IF(ISNUMBER(H106),H106,DATEVALUE(H106)),DATE(VALUE(RIGHT('INPUT DATA'!$F$18,4)),5,31),"Y")),"")</f>
        <v/>
      </c>
      <c r="L106" s="3" t="str">
        <f>IFERROR(IF(OR(H106="",H106=0),"",DATEDIF(IF(ISNUMBER(H106),H106,DATEVALUE(H106)),DATE(VALUE(RIGHT('INPUT DATA'!$F$18,4)),5,31),"YM")),"")</f>
        <v/>
      </c>
      <c r="M106" t="str">
        <v>F</v>
      </c>
    </row>
    <row r="107" ht="15.75" customHeight="1">
      <c r="B107">
        <v>43</v>
      </c>
      <c r="C107" t="str">
        <f>IF('INPUT DATA'!Q52="","",'INPUT DATA'!Q52)</f>
        <v/>
      </c>
      <c r="F107" t="str">
        <f>IF('INPUT DATA'!R52="","",'INPUT DATA'!R52)</f>
        <v/>
      </c>
      <c r="H107" s="2" t="str">
        <f>IF('INPUT DATA'!S52="","",'INPUT DATA'!S52)</f>
        <v/>
      </c>
      <c r="I107" s="3" t="str">
        <f>IFERROR(IF(OR(H107="",H107=0),"",DATEDIF(IF(ISNUMBER(H107),H107,DATEVALUE(H107)),DATE(VALUE(LEFT('INPUT DATA'!$F$18,4)),6,1),"Y")),"")</f>
        <v/>
      </c>
      <c r="J107" s="3" t="str">
        <f>IFERROR(IF(OR(H107="",H107=0),"",DATEDIF(IF(ISNUMBER(H107),H107,DATEVALUE(H107)),DATE(VALUE(LEFT('INPUT DATA'!$F$18,4)),6,1),"YM")),"")</f>
        <v/>
      </c>
      <c r="K107" s="3" t="str">
        <f>IFERROR(IF(OR(H107="",H107=0),"",DATEDIF(IF(ISNUMBER(H107),H107,DATEVALUE(H107)),DATE(VALUE(RIGHT('INPUT DATA'!$F$18,4)),5,31),"Y")),"")</f>
        <v/>
      </c>
      <c r="L107" s="3" t="str">
        <f>IFERROR(IF(OR(H107="",H107=0),"",DATEDIF(IF(ISNUMBER(H107),H107,DATEVALUE(H107)),DATE(VALUE(RIGHT('INPUT DATA'!$F$18,4)),5,31),"YM")),"")</f>
        <v/>
      </c>
      <c r="M107" t="str">
        <v>F</v>
      </c>
    </row>
    <row r="108" ht="15.75" customHeight="1">
      <c r="B108">
        <v>44</v>
      </c>
      <c r="C108" t="str">
        <f>IF('INPUT DATA'!Q53="","",'INPUT DATA'!Q53)</f>
        <v/>
      </c>
      <c r="F108" t="str">
        <f>IF('INPUT DATA'!R53="","",'INPUT DATA'!R53)</f>
        <v/>
      </c>
      <c r="H108" s="2" t="str">
        <f>IF('INPUT DATA'!S53="","",'INPUT DATA'!S53)</f>
        <v/>
      </c>
      <c r="I108" s="3" t="str">
        <f>IFERROR(IF(OR(H108="",H108=0),"",DATEDIF(IF(ISNUMBER(H108),H108,DATEVALUE(H108)),DATE(VALUE(LEFT('INPUT DATA'!$F$18,4)),6,1),"Y")),"")</f>
        <v/>
      </c>
      <c r="J108" s="3" t="str">
        <f>IFERROR(IF(OR(H108="",H108=0),"",DATEDIF(IF(ISNUMBER(H108),H108,DATEVALUE(H108)),DATE(VALUE(LEFT('INPUT DATA'!$F$18,4)),6,1),"YM")),"")</f>
        <v/>
      </c>
      <c r="K108" s="3" t="str">
        <f>IFERROR(IF(OR(H108="",H108=0),"",DATEDIF(IF(ISNUMBER(H108),H108,DATEVALUE(H108)),DATE(VALUE(RIGHT('INPUT DATA'!$F$18,4)),5,31),"Y")),"")</f>
        <v/>
      </c>
      <c r="L108" s="3" t="str">
        <f>IFERROR(IF(OR(H108="",H108=0),"",DATEDIF(IF(ISNUMBER(H108),H108,DATEVALUE(H108)),DATE(VALUE(RIGHT('INPUT DATA'!$F$18,4)),5,31),"YM")),"")</f>
        <v/>
      </c>
      <c r="M108" t="str">
        <v>F</v>
      </c>
    </row>
    <row r="109" ht="15.75" customHeight="1">
      <c r="B109">
        <v>45</v>
      </c>
      <c r="C109" t="str">
        <f>IF('INPUT DATA'!Q54="","",'INPUT DATA'!Q54)</f>
        <v/>
      </c>
      <c r="F109" t="str">
        <f>IF('INPUT DATA'!R54="","",'INPUT DATA'!R54)</f>
        <v/>
      </c>
      <c r="H109" s="2" t="str">
        <f>IF('INPUT DATA'!S54="","",'INPUT DATA'!S54)</f>
        <v/>
      </c>
      <c r="I109" s="3" t="str">
        <f>IFERROR(IF(OR(H109="",H109=0),"",DATEDIF(IF(ISNUMBER(H109),H109,DATEVALUE(H109)),DATE(VALUE(LEFT('INPUT DATA'!$F$18,4)),6,1),"Y")),"")</f>
        <v/>
      </c>
      <c r="J109" s="3" t="str">
        <f>IFERROR(IF(OR(H109="",H109=0),"",DATEDIF(IF(ISNUMBER(H109),H109,DATEVALUE(H109)),DATE(VALUE(LEFT('INPUT DATA'!$F$18,4)),6,1),"YM")),"")</f>
        <v/>
      </c>
      <c r="K109" s="3" t="str">
        <f>IFERROR(IF(OR(H109="",H109=0),"",DATEDIF(IF(ISNUMBER(H109),H109,DATEVALUE(H109)),DATE(VALUE(RIGHT('INPUT DATA'!$F$18,4)),5,31),"Y")),"")</f>
        <v/>
      </c>
      <c r="L109" s="3" t="str">
        <f>IFERROR(IF(OR(H109="",H109=0),"",DATEDIF(IF(ISNUMBER(H109),H109,DATEVALUE(H109)),DATE(VALUE(RIGHT('INPUT DATA'!$F$18,4)),5,31),"YM")),"")</f>
        <v/>
      </c>
      <c r="M109" t="str">
        <v>F</v>
      </c>
    </row>
    <row r="110" ht="15.75" customHeight="1">
      <c r="B110">
        <v>46</v>
      </c>
      <c r="C110" t="str">
        <f>IF('INPUT DATA'!Q55="","",'INPUT DATA'!Q55)</f>
        <v/>
      </c>
      <c r="F110" t="str">
        <f>IF('INPUT DATA'!R55="","",'INPUT DATA'!R55)</f>
        <v/>
      </c>
      <c r="H110" s="2" t="str">
        <f>IF('INPUT DATA'!S55="","",'INPUT DATA'!S55)</f>
        <v/>
      </c>
      <c r="I110" s="3" t="str">
        <f>IFERROR(IF(OR(H110="",H110=0),"",DATEDIF(IF(ISNUMBER(H110),H110,DATEVALUE(H110)),DATE(VALUE(LEFT('INPUT DATA'!$F$18,4)),6,1),"Y")),"")</f>
        <v/>
      </c>
      <c r="J110" s="3" t="str">
        <f>IFERROR(IF(OR(H110="",H110=0),"",DATEDIF(IF(ISNUMBER(H110),H110,DATEVALUE(H110)),DATE(VALUE(LEFT('INPUT DATA'!$F$18,4)),6,1),"YM")),"")</f>
        <v/>
      </c>
      <c r="K110" s="3" t="str">
        <f>IFERROR(IF(OR(H110="",H110=0),"",DATEDIF(IF(ISNUMBER(H110),H110,DATEVALUE(H110)),DATE(VALUE(RIGHT('INPUT DATA'!$F$18,4)),5,31),"Y")),"")</f>
        <v/>
      </c>
      <c r="L110" s="3" t="str">
        <f>IFERROR(IF(OR(H110="",H110=0),"",DATEDIF(IF(ISNUMBER(H110),H110,DATEVALUE(H110)),DATE(VALUE(RIGHT('INPUT DATA'!$F$18,4)),5,31),"YM")),"")</f>
        <v/>
      </c>
      <c r="M110" t="str">
        <v>F</v>
      </c>
    </row>
    <row r="111" ht="15.75" customHeight="1">
      <c r="B111">
        <v>47</v>
      </c>
      <c r="C111" t="str">
        <f>IF('INPUT DATA'!Q56="","",'INPUT DATA'!Q56)</f>
        <v/>
      </c>
      <c r="F111" t="str">
        <f>IF('INPUT DATA'!R56="","",'INPUT DATA'!R56)</f>
        <v/>
      </c>
      <c r="H111" s="2" t="str">
        <f>IF('INPUT DATA'!S56="","",'INPUT DATA'!S56)</f>
        <v/>
      </c>
      <c r="I111" s="3" t="str">
        <f>IFERROR(IF(OR(H111="",H111=0),"",DATEDIF(IF(ISNUMBER(H111),H111,DATEVALUE(H111)),DATE(VALUE(LEFT('INPUT DATA'!$F$18,4)),6,1),"Y")),"")</f>
        <v/>
      </c>
      <c r="J111" s="3" t="str">
        <f>IFERROR(IF(OR(H111="",H111=0),"",DATEDIF(IF(ISNUMBER(H111),H111,DATEVALUE(H111)),DATE(VALUE(LEFT('INPUT DATA'!$F$18,4)),6,1),"YM")),"")</f>
        <v/>
      </c>
      <c r="K111" s="3" t="str">
        <f>IFERROR(IF(OR(H111="",H111=0),"",DATEDIF(IF(ISNUMBER(H111),H111,DATEVALUE(H111)),DATE(VALUE(RIGHT('INPUT DATA'!$F$18,4)),5,31),"Y")),"")</f>
        <v/>
      </c>
      <c r="L111" s="3" t="str">
        <f>IFERROR(IF(OR(H111="",H111=0),"",DATEDIF(IF(ISNUMBER(H111),H111,DATEVALUE(H111)),DATE(VALUE(RIGHT('INPUT DATA'!$F$18,4)),5,31),"YM")),"")</f>
        <v/>
      </c>
      <c r="M111" t="str">
        <v>F</v>
      </c>
    </row>
    <row r="112" ht="15.75" customHeight="1">
      <c r="B112">
        <v>48</v>
      </c>
      <c r="C112" t="str">
        <f>IF('INPUT DATA'!Q57="","",'INPUT DATA'!Q57)</f>
        <v/>
      </c>
      <c r="F112" t="str">
        <f>IF('INPUT DATA'!R57="","",'INPUT DATA'!R57)</f>
        <v/>
      </c>
      <c r="H112" s="2" t="str">
        <f>IF('INPUT DATA'!S57="","",'INPUT DATA'!S57)</f>
        <v/>
      </c>
      <c r="I112" s="3" t="str">
        <f>IFERROR(IF(OR(H112="",H112=0),"",DATEDIF(IF(ISNUMBER(H112),H112,DATEVALUE(H112)),DATE(VALUE(LEFT('INPUT DATA'!$F$18,4)),6,1),"Y")),"")</f>
        <v/>
      </c>
      <c r="J112" s="3" t="str">
        <f>IFERROR(IF(OR(H112="",H112=0),"",DATEDIF(IF(ISNUMBER(H112),H112,DATEVALUE(H112)),DATE(VALUE(LEFT('INPUT DATA'!$F$18,4)),6,1),"YM")),"")</f>
        <v/>
      </c>
      <c r="K112" s="3" t="str">
        <f>IFERROR(IF(OR(H112="",H112=0),"",DATEDIF(IF(ISNUMBER(H112),H112,DATEVALUE(H112)),DATE(VALUE(RIGHT('INPUT DATA'!$F$18,4)),5,31),"Y")),"")</f>
        <v/>
      </c>
      <c r="L112" s="3" t="str">
        <f>IFERROR(IF(OR(H112="",H112=0),"",DATEDIF(IF(ISNUMBER(H112),H112,DATEVALUE(H112)),DATE(VALUE(RIGHT('INPUT DATA'!$F$18,4)),5,31),"YM")),"")</f>
        <v/>
      </c>
      <c r="M112" t="str">
        <v>F</v>
      </c>
    </row>
    <row r="113" ht="15.75" customHeight="1">
      <c r="B113">
        <v>49</v>
      </c>
      <c r="C113" t="str">
        <f>IF('INPUT DATA'!Q58="","",'INPUT DATA'!Q58)</f>
        <v/>
      </c>
      <c r="F113" t="str">
        <f>IF('INPUT DATA'!R58="","",'INPUT DATA'!R58)</f>
        <v/>
      </c>
      <c r="H113" s="2" t="str">
        <f>IF('INPUT DATA'!S58="","",'INPUT DATA'!S58)</f>
        <v/>
      </c>
      <c r="I113" s="3" t="str">
        <f>IFERROR(IF(OR(H113="",H113=0),"",DATEDIF(IF(ISNUMBER(H113),H113,DATEVALUE(H113)),DATE(VALUE(LEFT('INPUT DATA'!$F$18,4)),6,1),"Y")),"")</f>
        <v/>
      </c>
      <c r="J113" s="3" t="str">
        <f>IFERROR(IF(OR(H113="",H113=0),"",DATEDIF(IF(ISNUMBER(H113),H113,DATEVALUE(H113)),DATE(VALUE(LEFT('INPUT DATA'!$F$18,4)),6,1),"YM")),"")</f>
        <v/>
      </c>
      <c r="K113" s="3" t="str">
        <f>IFERROR(IF(OR(H113="",H113=0),"",DATEDIF(IF(ISNUMBER(H113),H113,DATEVALUE(H113)),DATE(VALUE(RIGHT('INPUT DATA'!$F$18,4)),5,31),"Y")),"")</f>
        <v/>
      </c>
      <c r="L113" s="3" t="str">
        <f>IFERROR(IF(OR(H113="",H113=0),"",DATEDIF(IF(ISNUMBER(H113),H113,DATEVALUE(H113)),DATE(VALUE(RIGHT('INPUT DATA'!$F$18,4)),5,31),"YM")),"")</f>
        <v/>
      </c>
      <c r="M113" t="str">
        <v>F</v>
      </c>
    </row>
    <row r="114" ht="15.75" customHeight="1">
      <c r="B114">
        <v>50</v>
      </c>
      <c r="C114" t="str">
        <f>IF('INPUT DATA'!Q59="","",'INPUT DATA'!Q59)</f>
        <v/>
      </c>
      <c r="F114" t="str">
        <f>IF('INPUT DATA'!R59="","",'INPUT DATA'!R59)</f>
        <v/>
      </c>
      <c r="H114" s="2" t="str">
        <f>IF('INPUT DATA'!S59="","",'INPUT DATA'!S59)</f>
        <v/>
      </c>
      <c r="I114" s="3" t="str">
        <f>IFERROR(IF(OR(H114="",H114=0),"",DATEDIF(IF(ISNUMBER(H114),H114,DATEVALUE(H114)),DATE(VALUE(LEFT('INPUT DATA'!$F$18,4)),6,1),"Y")),"")</f>
        <v/>
      </c>
      <c r="J114" s="3" t="str">
        <f>IFERROR(IF(OR(H114="",H114=0),"",DATEDIF(IF(ISNUMBER(H114),H114,DATEVALUE(H114)),DATE(VALUE(LEFT('INPUT DATA'!$F$18,4)),6,1),"YM")),"")</f>
        <v/>
      </c>
      <c r="K114" s="3" t="str">
        <f>IFERROR(IF(OR(H114="",H114=0),"",DATEDIF(IF(ISNUMBER(H114),H114,DATEVALUE(H114)),DATE(VALUE(RIGHT('INPUT DATA'!$F$18,4)),5,31),"Y")),"")</f>
        <v/>
      </c>
      <c r="L114" s="3" t="str">
        <f>IFERROR(IF(OR(H114="",H114=0),"",DATEDIF(IF(ISNUMBER(H114),H114,DATEVALUE(H114)),DATE(VALUE(RIGHT('INPUT DATA'!$F$18,4)),5,31),"YM")),"")</f>
        <v/>
      </c>
      <c r="M114" t="str">
        <v>F</v>
      </c>
    </row>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8">
    <mergeCell ref="AH12:AH14"/>
    <mergeCell ref="AI12:AI14"/>
    <mergeCell ref="AA12:AA14"/>
    <mergeCell ref="AB12:AB14"/>
    <mergeCell ref="AC12:AC14"/>
    <mergeCell ref="AD12:AD14"/>
    <mergeCell ref="AE12:AE14"/>
    <mergeCell ref="AF12:AF14"/>
    <mergeCell ref="AG12:AG14"/>
    <mergeCell ref="AQ12:AQ14"/>
    <mergeCell ref="AR12:AR14"/>
    <mergeCell ref="AJ12:AJ14"/>
    <mergeCell ref="AK12:AK14"/>
    <mergeCell ref="AL12:AL14"/>
    <mergeCell ref="AM12:AM14"/>
    <mergeCell ref="AN12:AN14"/>
    <mergeCell ref="AO12:AO14"/>
    <mergeCell ref="AP12:AP14"/>
    <mergeCell ref="N11:R11"/>
    <mergeCell ref="S11:Y11"/>
    <mergeCell ref="Z11:AS11"/>
    <mergeCell ref="AT11:BU11"/>
    <mergeCell ref="AT12:AW12"/>
    <mergeCell ref="AX12:AY12"/>
    <mergeCell ref="AZ12:BE12"/>
    <mergeCell ref="BF12:BK12"/>
    <mergeCell ref="BL12:BM12"/>
    <mergeCell ref="BN12:BP12"/>
    <mergeCell ref="BQ12:BU12"/>
    <mergeCell ref="BJ13:BK13"/>
    <mergeCell ref="BL13:BL14"/>
    <mergeCell ref="AZ13:AZ14"/>
    <mergeCell ref="BA13:BA14"/>
    <mergeCell ref="BB13:BB14"/>
    <mergeCell ref="BC13:BC14"/>
    <mergeCell ref="BD13:BD14"/>
    <mergeCell ref="BE13:BE14"/>
    <mergeCell ref="BG13:BH13"/>
    <mergeCell ref="BT13:BT14"/>
    <mergeCell ref="BU13:BU14"/>
    <mergeCell ref="BM13:BM14"/>
    <mergeCell ref="BN13:BN14"/>
    <mergeCell ref="BO13:BO14"/>
    <mergeCell ref="BP13:BP14"/>
    <mergeCell ref="BQ13:BQ14"/>
    <mergeCell ref="BR13:BR14"/>
    <mergeCell ref="BS13:BS14"/>
    <mergeCell ref="N9:Q9"/>
    <mergeCell ref="R9:AD9"/>
    <mergeCell ref="AE9:AG10"/>
    <mergeCell ref="AH9:BU10"/>
    <mergeCell ref="N10:Q10"/>
    <mergeCell ref="R10:AD10"/>
    <mergeCell ref="A1:V4"/>
    <mergeCell ref="E5:G5"/>
    <mergeCell ref="K5:M5"/>
    <mergeCell ref="E6:G6"/>
    <mergeCell ref="K6:M6"/>
    <mergeCell ref="T6:U6"/>
    <mergeCell ref="B9:H11"/>
    <mergeCell ref="J12:J14"/>
    <mergeCell ref="K12:K14"/>
    <mergeCell ref="L12:L14"/>
    <mergeCell ref="N12:N14"/>
    <mergeCell ref="O12:O14"/>
    <mergeCell ref="P12:P14"/>
    <mergeCell ref="Q12:Q14"/>
    <mergeCell ref="R12:R14"/>
    <mergeCell ref="S12:S14"/>
    <mergeCell ref="B15:BU15"/>
    <mergeCell ref="T12:T14"/>
    <mergeCell ref="U12:U14"/>
    <mergeCell ref="V12:V14"/>
    <mergeCell ref="W12:W14"/>
    <mergeCell ref="X12:X14"/>
    <mergeCell ref="Y12:Y14"/>
    <mergeCell ref="Z12:Z14"/>
    <mergeCell ref="AS12:AS14"/>
    <mergeCell ref="AT13:AT14"/>
    <mergeCell ref="AU13:AU14"/>
    <mergeCell ref="AV13:AV14"/>
    <mergeCell ref="AW13:AW14"/>
    <mergeCell ref="AX13:AX14"/>
    <mergeCell ref="AY13:AY14"/>
    <mergeCell ref="I9:J11"/>
    <mergeCell ref="K9:L11"/>
    <mergeCell ref="M9:M14"/>
    <mergeCell ref="B12:E14"/>
    <mergeCell ref="F12:G14"/>
    <mergeCell ref="H12:H14"/>
    <mergeCell ref="I12:I14"/>
    <mergeCell ref="C37:E37"/>
    <mergeCell ref="F37:G37"/>
    <mergeCell ref="C38:E38"/>
    <mergeCell ref="F38:G38"/>
    <mergeCell ref="C39:E39"/>
    <mergeCell ref="F39:G39"/>
    <mergeCell ref="F40:G40"/>
    <mergeCell ref="C40:E40"/>
    <mergeCell ref="C41:E41"/>
    <mergeCell ref="F41:G41"/>
    <mergeCell ref="C42:E42"/>
    <mergeCell ref="F42:G42"/>
    <mergeCell ref="C43:E43"/>
    <mergeCell ref="F43:G43"/>
    <mergeCell ref="B65:BU65"/>
    <mergeCell ref="C94:E94"/>
    <mergeCell ref="F94:G94"/>
    <mergeCell ref="C95:E95"/>
    <mergeCell ref="F95:G95"/>
    <mergeCell ref="C96:E96"/>
    <mergeCell ref="F96:G96"/>
    <mergeCell ref="F97:G97"/>
    <mergeCell ref="C97:E97"/>
    <mergeCell ref="C98:E98"/>
    <mergeCell ref="F98:G98"/>
    <mergeCell ref="C99:E99"/>
    <mergeCell ref="F99:G99"/>
    <mergeCell ref="C100:E100"/>
    <mergeCell ref="F100:G100"/>
    <mergeCell ref="C101:E101"/>
    <mergeCell ref="F101:G101"/>
    <mergeCell ref="C102:E102"/>
    <mergeCell ref="F102:G102"/>
    <mergeCell ref="C103:E103"/>
    <mergeCell ref="F103:G103"/>
    <mergeCell ref="F104:G104"/>
    <mergeCell ref="C104:E104"/>
    <mergeCell ref="C105:E105"/>
    <mergeCell ref="F105:G105"/>
    <mergeCell ref="C106:E106"/>
    <mergeCell ref="F106:G106"/>
    <mergeCell ref="C107:E107"/>
    <mergeCell ref="F107:G107"/>
    <mergeCell ref="C16:E16"/>
    <mergeCell ref="F16:G16"/>
    <mergeCell ref="C17:E17"/>
    <mergeCell ref="F17:G17"/>
    <mergeCell ref="C18:E18"/>
    <mergeCell ref="F18:G18"/>
    <mergeCell ref="F19:G19"/>
    <mergeCell ref="C19:E19"/>
    <mergeCell ref="C20:E20"/>
    <mergeCell ref="F20:G20"/>
    <mergeCell ref="C21:E21"/>
    <mergeCell ref="F21:G21"/>
    <mergeCell ref="C22:E22"/>
    <mergeCell ref="F22:G22"/>
    <mergeCell ref="C23:E23"/>
    <mergeCell ref="F23:G23"/>
    <mergeCell ref="C24:E24"/>
    <mergeCell ref="F24:G24"/>
    <mergeCell ref="C25:E25"/>
    <mergeCell ref="F25:G25"/>
    <mergeCell ref="F26:G26"/>
    <mergeCell ref="C26:E26"/>
    <mergeCell ref="C27:E27"/>
    <mergeCell ref="F27:G27"/>
    <mergeCell ref="C28:E28"/>
    <mergeCell ref="F28:G28"/>
    <mergeCell ref="C29:E29"/>
    <mergeCell ref="F29:G29"/>
    <mergeCell ref="C30:E30"/>
    <mergeCell ref="F30:G30"/>
    <mergeCell ref="C31:E31"/>
    <mergeCell ref="F31:G31"/>
    <mergeCell ref="C32:E32"/>
    <mergeCell ref="F32:G32"/>
    <mergeCell ref="F33:G33"/>
    <mergeCell ref="C33:E33"/>
    <mergeCell ref="C34:E34"/>
    <mergeCell ref="F34:G34"/>
    <mergeCell ref="C35:E35"/>
    <mergeCell ref="F35:G35"/>
    <mergeCell ref="C36:E36"/>
    <mergeCell ref="F36:G36"/>
    <mergeCell ref="C111:E111"/>
    <mergeCell ref="C112:E112"/>
    <mergeCell ref="F112:G112"/>
    <mergeCell ref="C113:E113"/>
    <mergeCell ref="F113:G113"/>
    <mergeCell ref="C114:E114"/>
    <mergeCell ref="F114:G114"/>
    <mergeCell ref="C108:E108"/>
    <mergeCell ref="F108:G108"/>
    <mergeCell ref="C109:E109"/>
    <mergeCell ref="F109:G109"/>
    <mergeCell ref="C110:E110"/>
    <mergeCell ref="F110:G110"/>
    <mergeCell ref="F111:G111"/>
    <mergeCell ref="C44:E44"/>
    <mergeCell ref="F44:G44"/>
    <mergeCell ref="C45:E45"/>
    <mergeCell ref="F45:G45"/>
    <mergeCell ref="C46:E46"/>
    <mergeCell ref="F46:G46"/>
    <mergeCell ref="F47:G47"/>
    <mergeCell ref="C47:E47"/>
    <mergeCell ref="C48:E48"/>
    <mergeCell ref="F48:G48"/>
    <mergeCell ref="C49:E49"/>
    <mergeCell ref="F49:G49"/>
    <mergeCell ref="C50:E50"/>
    <mergeCell ref="F50:G50"/>
    <mergeCell ref="C51:E51"/>
    <mergeCell ref="F51:G51"/>
    <mergeCell ref="C52:E52"/>
    <mergeCell ref="F52:G52"/>
    <mergeCell ref="C53:E53"/>
    <mergeCell ref="F53:G53"/>
    <mergeCell ref="F54:G54"/>
    <mergeCell ref="C54:E54"/>
    <mergeCell ref="C55:E55"/>
    <mergeCell ref="F55:G55"/>
    <mergeCell ref="C56:E56"/>
    <mergeCell ref="F56:G56"/>
    <mergeCell ref="C57:E57"/>
    <mergeCell ref="F57:G57"/>
    <mergeCell ref="C58:E58"/>
    <mergeCell ref="F58:G58"/>
    <mergeCell ref="C59:E59"/>
    <mergeCell ref="F59:G59"/>
    <mergeCell ref="C60:E60"/>
    <mergeCell ref="F60:G60"/>
    <mergeCell ref="F61:G61"/>
    <mergeCell ref="C61:E61"/>
    <mergeCell ref="C62:E62"/>
    <mergeCell ref="F62:G62"/>
    <mergeCell ref="C63:E63"/>
    <mergeCell ref="F63:G63"/>
    <mergeCell ref="C64:E64"/>
    <mergeCell ref="F64:G64"/>
    <mergeCell ref="C66:E66"/>
    <mergeCell ref="F66:G66"/>
    <mergeCell ref="C67:E67"/>
    <mergeCell ref="F67:G67"/>
    <mergeCell ref="C68:E68"/>
    <mergeCell ref="F68:G68"/>
    <mergeCell ref="F69:G69"/>
    <mergeCell ref="C69:E69"/>
    <mergeCell ref="C70:E70"/>
    <mergeCell ref="F70:G70"/>
    <mergeCell ref="C71:E71"/>
    <mergeCell ref="F71:G71"/>
    <mergeCell ref="C72:E72"/>
    <mergeCell ref="F72:G72"/>
    <mergeCell ref="C73:E73"/>
    <mergeCell ref="F73:G73"/>
    <mergeCell ref="C74:E74"/>
    <mergeCell ref="F74:G74"/>
    <mergeCell ref="C75:E75"/>
    <mergeCell ref="F75:G75"/>
    <mergeCell ref="F76:G76"/>
    <mergeCell ref="C76:E76"/>
    <mergeCell ref="C77:E77"/>
    <mergeCell ref="F77:G77"/>
    <mergeCell ref="C78:E78"/>
    <mergeCell ref="F78:G78"/>
    <mergeCell ref="C79:E79"/>
    <mergeCell ref="F79:G79"/>
    <mergeCell ref="C80:E80"/>
    <mergeCell ref="F80:G80"/>
    <mergeCell ref="C81:E81"/>
    <mergeCell ref="F81:G81"/>
    <mergeCell ref="C82:E82"/>
    <mergeCell ref="F82:G82"/>
    <mergeCell ref="F83:G83"/>
    <mergeCell ref="C83:E83"/>
    <mergeCell ref="C84:E84"/>
    <mergeCell ref="F84:G84"/>
    <mergeCell ref="C85:E85"/>
    <mergeCell ref="F85:G85"/>
    <mergeCell ref="C86:E86"/>
    <mergeCell ref="F86:G86"/>
    <mergeCell ref="C87:E87"/>
    <mergeCell ref="F87:G87"/>
    <mergeCell ref="C88:E88"/>
    <mergeCell ref="F88:G88"/>
    <mergeCell ref="C89:E89"/>
    <mergeCell ref="F89:G89"/>
    <mergeCell ref="F90:G90"/>
    <mergeCell ref="C90:E90"/>
    <mergeCell ref="C91:E91"/>
    <mergeCell ref="F91:G91"/>
    <mergeCell ref="C92:E92"/>
    <mergeCell ref="F92:G92"/>
    <mergeCell ref="C93:E93"/>
    <mergeCell ref="F93:G93"/>
  </mergeCells>
  <pageMargins left="0.7" right="0.7" top="0.75" bottom="0.75" header="0" footer="0"/>
  <ignoredErrors>
    <ignoredError numberStoredAsText="1" sqref="A1:BU1000"/>
  </ignoredErrors>
</worksheet>
</file>

<file path=xl/worksheets/sheet6.xml><?xml version="1.0" encoding="utf-8"?>
<worksheet xmlns="http://schemas.openxmlformats.org/spreadsheetml/2006/main" xmlns:r="http://schemas.openxmlformats.org/officeDocument/2006/relationships">
  <dimension ref="A1:BU1000"/>
  <sheetViews>
    <sheetView workbookViewId="0" rightToLeft="0"/>
  </sheetViews>
  <cols>
    <col min="1" max="1" customWidth="1" width="3.75"/>
    <col min="2" max="2" customWidth="1" width="4.38"/>
    <col min="3" max="3" customWidth="1" width="13.13"/>
    <col min="6" max="6" customWidth="1" width="15.38"/>
    <col min="9" max="9" customWidth="1" width="6.38"/>
    <col min="10" max="10" customWidth="1" width="6.38"/>
    <col min="11" max="11" customWidth="1" width="6.38"/>
    <col min="12" max="12" customWidth="1" width="6.38"/>
    <col min="13" max="13" customWidth="1" width="5.13"/>
    <col min="14" max="14" customWidth="1" width="5.63"/>
    <col min="15" max="15" customWidth="1" width="5.63"/>
    <col min="16" max="16" customWidth="1" width="5.63"/>
    <col min="17" max="17" customWidth="1" width="5.63"/>
    <col min="18" max="18" customWidth="1" width="5.63"/>
    <col min="19" max="19" customWidth="1" width="5.63"/>
    <col min="20" max="20" customWidth="1" width="5.63"/>
    <col min="21" max="21" customWidth="1" width="5.63"/>
    <col min="22" max="22" customWidth="1" width="5.63"/>
    <col min="23" max="23" customWidth="1" width="5.63"/>
    <col min="24" max="24" customWidth="1" width="5.63"/>
    <col min="25" max="25" customWidth="1" width="5.63"/>
    <col min="26" max="26" customWidth="1" width="5.63"/>
    <col min="27" max="27" customWidth="1" width="5.63"/>
    <col min="28" max="28" customWidth="1" width="5.63"/>
    <col min="29" max="29" customWidth="1" width="5.63"/>
    <col min="30" max="30" customWidth="1" width="5.63"/>
    <col min="31" max="31" customWidth="1" width="5.63"/>
    <col min="32" max="32" customWidth="1" width="5.63"/>
    <col min="33" max="33" customWidth="1" width="5.63"/>
    <col min="34" max="34" customWidth="1" width="5.63"/>
    <col min="35" max="35" customWidth="1" width="5.63"/>
    <col min="36" max="36" customWidth="1" width="5.63"/>
    <col min="37" max="37" customWidth="1" width="5.63"/>
    <col min="38" max="38" customWidth="1" width="5.63"/>
    <col min="39" max="39" customWidth="1" width="5.63"/>
    <col min="40" max="40" customWidth="1" width="5.63"/>
    <col min="41" max="41" customWidth="1" width="5.63"/>
    <col min="42" max="42" customWidth="1" width="5.63"/>
    <col min="43" max="43" customWidth="1" width="5.63"/>
    <col min="44" max="44" customWidth="1" width="5.63"/>
    <col min="45" max="45" customWidth="1" width="5.63"/>
    <col min="46" max="46" customWidth="1" width="5.63"/>
    <col min="47" max="47" customWidth="1" width="5.63"/>
    <col min="48" max="48" customWidth="1" width="5.63"/>
    <col min="49" max="49" customWidth="1" width="5.63"/>
    <col min="50" max="50" customWidth="1" width="7"/>
    <col min="51" max="51" customWidth="1" width="7"/>
    <col min="52" max="52" customWidth="1" width="5.63"/>
    <col min="53" max="53" customWidth="1" width="5.63"/>
    <col min="54" max="54" customWidth="1" width="5.63"/>
    <col min="55" max="55" customWidth="1" width="5.63"/>
    <col min="56" max="56" customWidth="1" width="5.63"/>
    <col min="57" max="57" customWidth="1" width="5.63"/>
    <col min="58" max="58" customWidth="1" width="15.63"/>
    <col min="59" max="59" customWidth="1" width="7"/>
    <col min="60" max="60" customWidth="1" width="5.63"/>
    <col min="61" max="61" customWidth="1" width="5.63"/>
    <col min="62" max="62" customWidth="1" width="7.5"/>
    <col min="63" max="63" customWidth="1" width="5.63"/>
    <col min="64" max="64" customWidth="1" width="10.38"/>
    <col min="65" max="65" customWidth="1" width="8.38"/>
    <col min="66" max="66" customWidth="1" width="5.63"/>
    <col min="67" max="67" customWidth="1" width="5.63"/>
    <col min="68" max="68" customWidth="1" width="5.63"/>
    <col min="69" max="69" customWidth="1" width="5.63"/>
    <col min="70" max="70" customWidth="1" width="5.63"/>
    <col min="71" max="71" customWidth="1" width="5.63"/>
    <col min="72" max="72" customWidth="1" width="5.63"/>
    <col min="73" max="73" customWidth="1" width="5.63"/>
  </cols>
  <sheetData>
    <row r="1">
      <c r="A1" t="str">
        <v>CLASS SUMMARY - THIRD</v>
      </c>
    </row>
    <row r="2"/>
    <row r="3"/>
    <row r="4"/>
    <row r="5">
      <c r="D5" t="str">
        <v>REGION</v>
      </c>
      <c r="E5" t="str">
        <f>'INPUT DATA'!F10</f>
        <v/>
      </c>
      <c r="I5" t="str">
        <v>DIVISION</v>
      </c>
      <c r="K5" t="str">
        <f>'INPUT DATA'!F11</f>
        <v/>
      </c>
    </row>
    <row r="6">
      <c r="D6" t="str">
        <v>SCHOOL NAME</v>
      </c>
      <c r="E6" t="str">
        <f>'INPUT DATA'!F16</f>
        <v/>
      </c>
      <c r="I6" t="str">
        <v>SCHOOL ID</v>
      </c>
      <c r="K6" t="str">
        <f>'INPUT DATA'!F15</f>
        <v/>
      </c>
      <c r="S6" t="str">
        <v>SCHOOL YEAR</v>
      </c>
      <c r="T6" t="str">
        <f>'INPUT DATA'!F18</f>
        <v/>
      </c>
    </row>
    <row r="7"/>
    <row r="8" ht="15.75" customHeight="1"/>
    <row r="9" ht="15.75" customHeight="1">
      <c r="B9" t="str">
        <v>THIRD TERM</v>
      </c>
      <c r="I9" t="str">
        <v>Age (BoSY)</v>
      </c>
      <c r="K9" t="str">
        <v>Age (EoSY)</v>
      </c>
      <c r="M9" t="str">
        <v>Sex</v>
      </c>
      <c r="N9" t="str">
        <v>GRADE LEVEL</v>
      </c>
      <c r="R9" t="str">
        <f>'INPUT DATA'!F27</f>
        <v/>
      </c>
      <c r="AE9" t="str">
        <v>ADVISER</v>
      </c>
      <c r="AH9" t="str">
        <f>'INPUT DATA'!F26</f>
        <v/>
      </c>
    </row>
    <row r="10" ht="15.75" customHeight="1">
      <c r="N10" t="str">
        <v>SECTION</v>
      </c>
      <c r="R10" t="str">
        <f>'INPUT DATA'!F28</f>
        <v/>
      </c>
    </row>
    <row r="11" ht="34.5" customHeight="1">
      <c r="N11" t="str">
        <v>I. Sensory Perceptual and Motor Development</v>
      </c>
      <c r="S11" t="str">
        <v>II. Socio-emotional Development</v>
      </c>
      <c r="Z11" t="str">
        <v>III. Cognitive Development</v>
      </c>
      <c r="AT11" t="str">
        <v>IV. Language, Literacy, and Communication Development</v>
      </c>
    </row>
    <row r="12" ht="34.5" customHeight="1">
      <c r="B12" t="str">
        <v>LEARNERS' NAMES</v>
      </c>
      <c r="F12" t="str">
        <v>LRN</v>
      </c>
      <c r="H12" t="str">
        <v>Date of Birth</v>
      </c>
      <c r="I12" t="str">
        <v>Years</v>
      </c>
      <c r="J12" t="str">
        <v>Months</v>
      </c>
      <c r="K12" t="str">
        <v>Years</v>
      </c>
      <c r="L12" t="str">
        <v>Months</v>
      </c>
      <c r="N12">
        <v>1</v>
      </c>
      <c r="O12">
        <v>2</v>
      </c>
      <c r="P12">
        <v>3</v>
      </c>
      <c r="Q12">
        <v>4</v>
      </c>
      <c r="R12">
        <v>5</v>
      </c>
      <c r="S12">
        <v>1</v>
      </c>
      <c r="T12">
        <v>2</v>
      </c>
      <c r="U12">
        <v>3</v>
      </c>
      <c r="V12">
        <v>4</v>
      </c>
      <c r="W12">
        <v>5</v>
      </c>
      <c r="X12">
        <v>6</v>
      </c>
      <c r="Y12">
        <v>7</v>
      </c>
      <c r="Z12">
        <v>1</v>
      </c>
      <c r="AA12">
        <v>2</v>
      </c>
      <c r="AB12">
        <v>3</v>
      </c>
      <c r="AC12">
        <v>4</v>
      </c>
      <c r="AD12">
        <v>5</v>
      </c>
      <c r="AE12">
        <v>6</v>
      </c>
      <c r="AF12">
        <v>7</v>
      </c>
      <c r="AG12">
        <v>8</v>
      </c>
      <c r="AH12">
        <v>9</v>
      </c>
      <c r="AI12">
        <v>10</v>
      </c>
      <c r="AJ12">
        <v>11</v>
      </c>
      <c r="AK12">
        <v>12</v>
      </c>
      <c r="AL12">
        <v>13</v>
      </c>
      <c r="AM12">
        <v>14</v>
      </c>
      <c r="AN12">
        <v>15</v>
      </c>
      <c r="AO12">
        <v>16</v>
      </c>
      <c r="AP12">
        <v>17</v>
      </c>
      <c r="AQ12">
        <v>18</v>
      </c>
      <c r="AR12">
        <v>19</v>
      </c>
      <c r="AS12">
        <v>20</v>
      </c>
      <c r="AT12" t="str">
        <v>A. Listening and Viewing</v>
      </c>
      <c r="AX12" t="str">
        <v>B. Sight Word Recognition</v>
      </c>
      <c r="AZ12" t="str">
        <v>C. Speaking</v>
      </c>
      <c r="BF12" t="str">
        <v>D. Reading</v>
      </c>
      <c r="BL12" t="str">
        <v>E. Comprehension</v>
      </c>
      <c r="BN12" t="str">
        <v>F. Concepts of Print</v>
      </c>
      <c r="BQ12" t="str">
        <v>G. Writing</v>
      </c>
    </row>
    <row r="13" ht="51" customHeight="1">
      <c r="AT13">
        <v>1</v>
      </c>
      <c r="AU13">
        <v>2</v>
      </c>
      <c r="AV13">
        <v>3</v>
      </c>
      <c r="AW13">
        <v>4</v>
      </c>
      <c r="AX13">
        <v>5</v>
      </c>
      <c r="AY13">
        <v>6</v>
      </c>
      <c r="AZ13">
        <v>7</v>
      </c>
      <c r="BA13">
        <v>8</v>
      </c>
      <c r="BB13">
        <v>9</v>
      </c>
      <c r="BC13">
        <v>10</v>
      </c>
      <c r="BD13">
        <v>11</v>
      </c>
      <c r="BE13">
        <v>12</v>
      </c>
      <c r="BF13" t="str">
        <v>Phonological / Phonemic Awareness</v>
      </c>
      <c r="BG13" t="str">
        <v>Letter Knowledge</v>
      </c>
      <c r="BJ13" t="str">
        <v>Letter Sound Relationship</v>
      </c>
      <c r="BL13">
        <v>19</v>
      </c>
      <c r="BM13">
        <v>20</v>
      </c>
      <c r="BN13">
        <v>21</v>
      </c>
      <c r="BO13">
        <v>22</v>
      </c>
      <c r="BP13">
        <v>23</v>
      </c>
      <c r="BQ13">
        <v>24</v>
      </c>
      <c r="BR13">
        <v>25</v>
      </c>
      <c r="BS13">
        <v>26</v>
      </c>
      <c r="BT13">
        <v>27</v>
      </c>
      <c r="BU13">
        <v>28</v>
      </c>
    </row>
    <row r="14" ht="15.75" customHeight="1">
      <c r="BF14">
        <v>13</v>
      </c>
      <c r="BG14">
        <v>14</v>
      </c>
      <c r="BH14">
        <v>15</v>
      </c>
      <c r="BI14">
        <v>16</v>
      </c>
      <c r="BJ14">
        <v>17</v>
      </c>
      <c r="BK14">
        <v>18</v>
      </c>
    </row>
    <row r="15" ht="15.75" customHeight="1">
      <c r="B15" t="str">
        <v>MALE</v>
      </c>
    </row>
    <row r="16" ht="15.75" customHeight="1">
      <c r="B16">
        <v>1</v>
      </c>
      <c r="C16" t="str">
        <f>IF('INPUT DATA'!L11="","",'INPUT DATA'!L11)</f>
        <v/>
      </c>
      <c r="F16" t="str">
        <f>IF('INPUT DATA'!M11="","",'INPUT DATA'!M11)</f>
        <v/>
      </c>
      <c r="H16" s="2" t="str">
        <f>IF('INPUT DATA'!N11="","",'INPUT DATA'!N11)</f>
        <v/>
      </c>
      <c r="I16" s="3" t="str">
        <f>IF(H16="","",DATEDIF(H16,DATE(2026,6,8),"Y"))</f>
        <v/>
      </c>
      <c r="J16" s="3" t="str">
        <f>IF(H16="","",DATEDIF(H16,DATE(2026,6,8),"YM"))</f>
        <v/>
      </c>
      <c r="K16" s="3" t="str">
        <f>IF(H16="","",DATEDIF(H16,DATE(2027,4,8),"Y"))</f>
        <v/>
      </c>
      <c r="L16" s="3" t="str">
        <f>IF(H16="","",DATEDIF(H16,DATE(2027,4,8),"YM"))</f>
        <v/>
      </c>
      <c r="M16" t="str">
        <v>M</v>
      </c>
    </row>
    <row r="17" ht="15.75" customHeight="1">
      <c r="B17">
        <v>2</v>
      </c>
      <c r="C17" t="str">
        <f>IF('INPUT DATA'!L12="","",'INPUT DATA'!L12)</f>
        <v/>
      </c>
      <c r="F17" t="str">
        <f>IF('INPUT DATA'!M12="","",'INPUT DATA'!M12)</f>
        <v/>
      </c>
      <c r="H17" s="2" t="str">
        <f>IF('INPUT DATA'!N12="","",'INPUT DATA'!N12)</f>
        <v/>
      </c>
      <c r="I17" s="3" t="str">
        <f>IF(H17="","",DATEDIF(H17,DATE(2026,6,8),"Y"))</f>
        <v/>
      </c>
      <c r="J17" s="3" t="str">
        <f>IF(H17="","",DATEDIF(H17,DATE(2026,6,8),"YM"))</f>
        <v/>
      </c>
      <c r="K17" s="3" t="str">
        <f>IF(H17="","",DATEDIF(H17,DATE(2027,4,8),"Y"))</f>
        <v/>
      </c>
      <c r="L17" s="3" t="str">
        <f>IF(H17="","",DATEDIF(H17,DATE(2027,4,8),"YM"))</f>
        <v/>
      </c>
      <c r="M17" t="str">
        <v>M</v>
      </c>
    </row>
    <row r="18" ht="15.75" customHeight="1">
      <c r="B18">
        <v>3</v>
      </c>
      <c r="C18" t="str">
        <f>IF('INPUT DATA'!L13="","",'INPUT DATA'!L13)</f>
        <v/>
      </c>
      <c r="F18" t="str">
        <f>IF('INPUT DATA'!M13="","",'INPUT DATA'!M13)</f>
        <v/>
      </c>
      <c r="H18" s="2" t="str">
        <f>IF('INPUT DATA'!N13="","",'INPUT DATA'!N13)</f>
        <v/>
      </c>
      <c r="I18" s="3" t="str">
        <f>IF(H18="","",DATEDIF(H18,DATE(2026,6,8),"Y"))</f>
        <v/>
      </c>
      <c r="J18" s="3" t="str">
        <f>IF(H18="","",DATEDIF(H18,DATE(2026,6,8),"YM"))</f>
        <v/>
      </c>
      <c r="K18" s="3" t="str">
        <f>IF(H18="","",DATEDIF(H18,DATE(2027,4,8),"Y"))</f>
        <v/>
      </c>
      <c r="L18" s="3" t="str">
        <f>IF(H18="","",DATEDIF(H18,DATE(2027,4,8),"YM"))</f>
        <v/>
      </c>
      <c r="M18" t="str">
        <v>M</v>
      </c>
    </row>
    <row r="19" ht="15.75" customHeight="1">
      <c r="B19">
        <v>4</v>
      </c>
      <c r="C19" t="str">
        <f>IF('INPUT DATA'!L14="","",'INPUT DATA'!L14)</f>
        <v/>
      </c>
      <c r="F19" t="str">
        <f>IF('INPUT DATA'!M14="","",'INPUT DATA'!M14)</f>
        <v/>
      </c>
      <c r="H19" s="2" t="str">
        <f>IF('INPUT DATA'!N14="","",'INPUT DATA'!N14)</f>
        <v/>
      </c>
      <c r="I19" s="3" t="str">
        <f>IF(H19="","",DATEDIF(H19,DATE(2026,6,8),"Y"))</f>
        <v/>
      </c>
      <c r="J19" s="3" t="str">
        <f>IF(H19="","",DATEDIF(H19,DATE(2026,6,8),"YM"))</f>
        <v/>
      </c>
      <c r="K19" s="3" t="str">
        <f>IF(H19="","",DATEDIF(H19,DATE(2027,4,8),"Y"))</f>
        <v/>
      </c>
      <c r="L19" s="3" t="str">
        <f>IF(H19="","",DATEDIF(H19,DATE(2027,4,8),"YM"))</f>
        <v/>
      </c>
      <c r="M19" t="str">
        <v>M</v>
      </c>
    </row>
    <row r="20" ht="15.75" customHeight="1">
      <c r="B20">
        <v>5</v>
      </c>
      <c r="C20" t="str">
        <f>IF('INPUT DATA'!L15="","",'INPUT DATA'!L15)</f>
        <v/>
      </c>
      <c r="F20" t="str">
        <f>IF('INPUT DATA'!M15="","",'INPUT DATA'!M15)</f>
        <v/>
      </c>
      <c r="H20" s="2" t="str">
        <f>IF('INPUT DATA'!N15="","",'INPUT DATA'!N15)</f>
        <v/>
      </c>
      <c r="I20" s="3" t="str">
        <f>IF(H20="","",DATEDIF(H20,DATE(2026,6,8),"Y"))</f>
        <v/>
      </c>
      <c r="J20" s="3" t="str">
        <f>IF(H20="","",DATEDIF(H20,DATE(2026,6,8),"YM"))</f>
        <v/>
      </c>
      <c r="K20" s="3" t="str">
        <f>IF(H20="","",DATEDIF(H20,DATE(2027,4,8),"Y"))</f>
        <v/>
      </c>
      <c r="L20" s="3" t="str">
        <f>IF(H20="","",DATEDIF(H20,DATE(2027,4,8),"YM"))</f>
        <v/>
      </c>
      <c r="M20" t="str">
        <v>M</v>
      </c>
    </row>
    <row r="21" ht="15.75" customHeight="1">
      <c r="B21">
        <v>6</v>
      </c>
      <c r="C21" t="str">
        <f>IF('INPUT DATA'!L16="","",'INPUT DATA'!L16)</f>
        <v/>
      </c>
      <c r="F21" t="str">
        <f>IF('INPUT DATA'!M16="","",'INPUT DATA'!M16)</f>
        <v/>
      </c>
      <c r="H21" s="2" t="str">
        <f>IF('INPUT DATA'!N16="","",'INPUT DATA'!N16)</f>
        <v/>
      </c>
      <c r="I21" s="3" t="str">
        <f>IF(H21="","",DATEDIF(H21,DATE(2026,6,8),"Y"))</f>
        <v/>
      </c>
      <c r="J21" s="3" t="str">
        <f>IF(H21="","",DATEDIF(H21,DATE(2026,6,8),"YM"))</f>
        <v/>
      </c>
      <c r="K21" s="3" t="str">
        <f>IF(H21="","",DATEDIF(H21,DATE(2027,4,8),"Y"))</f>
        <v/>
      </c>
      <c r="L21" s="3" t="str">
        <f>IF(H21="","",DATEDIF(H21,DATE(2027,4,8),"YM"))</f>
        <v/>
      </c>
      <c r="M21" t="str">
        <v>M</v>
      </c>
    </row>
    <row r="22" ht="15.75" customHeight="1">
      <c r="B22">
        <v>7</v>
      </c>
      <c r="C22" t="str">
        <f>IF('INPUT DATA'!L17="","",'INPUT DATA'!L17)</f>
        <v/>
      </c>
      <c r="F22" t="str">
        <f>IF('INPUT DATA'!M17="","",'INPUT DATA'!M17)</f>
        <v/>
      </c>
      <c r="H22" s="2" t="str">
        <f>IF('INPUT DATA'!N17="","",'INPUT DATA'!N17)</f>
        <v/>
      </c>
      <c r="I22" s="3" t="str">
        <f>IF(H22="","",DATEDIF(H22,DATE(2026,6,8),"Y"))</f>
        <v/>
      </c>
      <c r="J22" s="3" t="str">
        <f>IF(H22="","",DATEDIF(H22,DATE(2026,6,8),"YM"))</f>
        <v/>
      </c>
      <c r="K22" s="3" t="str">
        <f>IF(H22="","",DATEDIF(H22,DATE(2027,4,8),"Y"))</f>
        <v/>
      </c>
      <c r="L22" s="3" t="str">
        <f>IF(H22="","",DATEDIF(H22,DATE(2027,4,8),"YM"))</f>
        <v/>
      </c>
      <c r="M22" t="str">
        <v>M</v>
      </c>
    </row>
    <row r="23" ht="15.75" customHeight="1">
      <c r="B23">
        <v>8</v>
      </c>
      <c r="C23" t="str">
        <f>IF('INPUT DATA'!L18="","",'INPUT DATA'!L18)</f>
        <v/>
      </c>
      <c r="F23" t="str">
        <f>IF('INPUT DATA'!M18="","",'INPUT DATA'!M18)</f>
        <v/>
      </c>
      <c r="H23" s="2" t="str">
        <f>IF('INPUT DATA'!N18="","",'INPUT DATA'!N18)</f>
        <v/>
      </c>
      <c r="I23" s="3" t="str">
        <f>IF(H23="","",DATEDIF(H23,DATE(2026,6,8),"Y"))</f>
        <v/>
      </c>
      <c r="J23" s="3" t="str">
        <f>IF(H23="","",DATEDIF(H23,DATE(2026,6,8),"YM"))</f>
        <v/>
      </c>
      <c r="K23" s="3" t="str">
        <f>IF(H23="","",DATEDIF(H23,DATE(2027,4,8),"Y"))</f>
        <v/>
      </c>
      <c r="L23" s="3" t="str">
        <f>IF(H23="","",DATEDIF(H23,DATE(2027,4,8),"YM"))</f>
        <v/>
      </c>
      <c r="M23" t="str">
        <v>M</v>
      </c>
    </row>
    <row r="24" ht="15.75" customHeight="1">
      <c r="B24">
        <v>9</v>
      </c>
      <c r="C24" t="str">
        <f>IF('INPUT DATA'!L19="","",'INPUT DATA'!L19)</f>
        <v/>
      </c>
      <c r="F24" t="str">
        <f>IF('INPUT DATA'!M19="","",'INPUT DATA'!M19)</f>
        <v/>
      </c>
      <c r="H24" s="2" t="str">
        <f>IF('INPUT DATA'!N19="","",'INPUT DATA'!N19)</f>
        <v/>
      </c>
      <c r="I24" s="3" t="str">
        <f>IF(H24="","",DATEDIF(H24,DATE(2026,6,8),"Y"))</f>
        <v/>
      </c>
      <c r="J24" s="3" t="str">
        <f>IF(H24="","",DATEDIF(H24,DATE(2026,6,8),"YM"))</f>
        <v/>
      </c>
      <c r="K24" s="3" t="str">
        <f>IF(H24="","",DATEDIF(H24,DATE(2027,4,8),"Y"))</f>
        <v/>
      </c>
      <c r="L24" s="3" t="str">
        <f>IF(H24="","",DATEDIF(H24,DATE(2027,4,8),"YM"))</f>
        <v/>
      </c>
      <c r="M24" t="str">
        <v>M</v>
      </c>
    </row>
    <row r="25" ht="15.75" customHeight="1">
      <c r="B25">
        <v>10</v>
      </c>
      <c r="C25" t="str">
        <f>IF('INPUT DATA'!L20="","",'INPUT DATA'!L20)</f>
        <v/>
      </c>
      <c r="F25" t="str">
        <f>IF('INPUT DATA'!M20="","",'INPUT DATA'!M20)</f>
        <v/>
      </c>
      <c r="H25" s="2" t="str">
        <f>IF('INPUT DATA'!N20="","",'INPUT DATA'!N20)</f>
        <v/>
      </c>
      <c r="I25" s="3" t="str">
        <f>IF(H25="","",DATEDIF(H25,DATE(2026,6,8),"Y"))</f>
        <v/>
      </c>
      <c r="J25" s="3" t="str">
        <f>IF(H25="","",DATEDIF(H25,DATE(2026,6,8),"YM"))</f>
        <v/>
      </c>
      <c r="K25" s="3" t="str">
        <f>IF(H25="","",DATEDIF(H25,DATE(2027,4,8),"Y"))</f>
        <v/>
      </c>
      <c r="L25" s="3" t="str">
        <f>IF(H25="","",DATEDIF(H25,DATE(2027,4,8),"YM"))</f>
        <v/>
      </c>
      <c r="M25" t="str">
        <v>M</v>
      </c>
    </row>
    <row r="26" ht="15.75" customHeight="1">
      <c r="B26">
        <v>11</v>
      </c>
      <c r="C26" t="str">
        <f>IF('INPUT DATA'!L21="","",'INPUT DATA'!L21)</f>
        <v/>
      </c>
      <c r="F26" t="str">
        <f>IF('INPUT DATA'!M21="","",'INPUT DATA'!M21)</f>
        <v/>
      </c>
      <c r="H26" s="2" t="str">
        <f>IF('INPUT DATA'!N21="","",'INPUT DATA'!N21)</f>
        <v/>
      </c>
      <c r="I26" s="3" t="str">
        <f>IF(H26="","",DATEDIF(H26,DATE(2026,6,8),"Y"))</f>
        <v/>
      </c>
      <c r="J26" s="3" t="str">
        <f>IF(H26="","",DATEDIF(H26,DATE(2026,6,8),"YM"))</f>
        <v/>
      </c>
      <c r="K26" s="3" t="str">
        <f>IF(H26="","",DATEDIF(H26,DATE(2027,4,8),"Y"))</f>
        <v/>
      </c>
      <c r="L26" s="3" t="str">
        <f>IF(H26="","",DATEDIF(H26,DATE(2027,4,8),"YM"))</f>
        <v/>
      </c>
      <c r="M26" t="str">
        <v>M</v>
      </c>
    </row>
    <row r="27" ht="15.75" customHeight="1">
      <c r="B27">
        <v>12</v>
      </c>
      <c r="C27" t="str">
        <f>IF('INPUT DATA'!L22="","",'INPUT DATA'!L22)</f>
        <v/>
      </c>
      <c r="F27" t="str">
        <f>IF('INPUT DATA'!M22="","",'INPUT DATA'!M22)</f>
        <v/>
      </c>
      <c r="H27" s="2" t="str">
        <f>IF('INPUT DATA'!N22="","",'INPUT DATA'!N22)</f>
        <v/>
      </c>
      <c r="I27" s="3" t="str">
        <f>IF(H27="","",DATEDIF(H27,DATE(2026,6,8),"Y"))</f>
        <v/>
      </c>
      <c r="J27" s="3" t="str">
        <f>IF(H27="","",DATEDIF(H27,DATE(2026,6,8),"YM"))</f>
        <v/>
      </c>
      <c r="K27" s="3" t="str">
        <f>IF(H27="","",DATEDIF(H27,DATE(2027,4,8),"Y"))</f>
        <v/>
      </c>
      <c r="L27" s="3" t="str">
        <f>IF(H27="","",DATEDIF(H27,DATE(2027,4,8),"YM"))</f>
        <v/>
      </c>
      <c r="M27" t="str">
        <v>M</v>
      </c>
    </row>
    <row r="28" ht="15.75" customHeight="1">
      <c r="B28">
        <v>13</v>
      </c>
      <c r="C28" t="str">
        <f>IF('INPUT DATA'!L23="","",'INPUT DATA'!L23)</f>
        <v/>
      </c>
      <c r="F28" t="str">
        <f>IF('INPUT DATA'!M23="","",'INPUT DATA'!M23)</f>
        <v/>
      </c>
      <c r="H28" s="2" t="str">
        <f>IF('INPUT DATA'!N23="","",'INPUT DATA'!N23)</f>
        <v/>
      </c>
      <c r="I28" s="3" t="str">
        <f>IF(H28="","",DATEDIF(H28,DATE(2026,6,8),"Y"))</f>
        <v/>
      </c>
      <c r="J28" s="3" t="str">
        <f>IF(H28="","",DATEDIF(H28,DATE(2026,6,8),"YM"))</f>
        <v/>
      </c>
      <c r="K28" s="3" t="str">
        <f>IF(H28="","",DATEDIF(H28,DATE(2027,4,8),"Y"))</f>
        <v/>
      </c>
      <c r="L28" s="3" t="str">
        <f>IF(H28="","",DATEDIF(H28,DATE(2027,4,8),"YM"))</f>
        <v/>
      </c>
      <c r="M28" t="str">
        <v>M</v>
      </c>
    </row>
    <row r="29" ht="15.75" customHeight="1">
      <c r="B29">
        <v>14</v>
      </c>
      <c r="C29" t="str">
        <f>IF('INPUT DATA'!L24="","",'INPUT DATA'!L24)</f>
        <v/>
      </c>
      <c r="F29" t="str">
        <f>IF('INPUT DATA'!M24="","",'INPUT DATA'!M24)</f>
        <v/>
      </c>
      <c r="H29" s="2" t="str">
        <f>IF('INPUT DATA'!N24="","",'INPUT DATA'!N24)</f>
        <v/>
      </c>
      <c r="I29" s="3" t="str">
        <f>IF(H29="","",DATEDIF(H29,DATE(2026,6,8),"Y"))</f>
        <v/>
      </c>
      <c r="J29" s="3" t="str">
        <f>IF(H29="","",DATEDIF(H29,DATE(2026,6,8),"YM"))</f>
        <v/>
      </c>
      <c r="K29" s="3" t="str">
        <f>IF(H29="","",DATEDIF(H29,DATE(2027,4,8),"Y"))</f>
        <v/>
      </c>
      <c r="L29" s="3" t="str">
        <f>IF(H29="","",DATEDIF(H29,DATE(2027,4,8),"YM"))</f>
        <v/>
      </c>
      <c r="M29" t="str">
        <v>M</v>
      </c>
    </row>
    <row r="30" ht="15.75" customHeight="1">
      <c r="B30">
        <v>15</v>
      </c>
      <c r="C30" t="str">
        <f>IF('INPUT DATA'!L25="","",'INPUT DATA'!L25)</f>
        <v/>
      </c>
      <c r="F30" t="str">
        <f>IF('INPUT DATA'!M25="","",'INPUT DATA'!M25)</f>
        <v/>
      </c>
      <c r="H30" s="2" t="str">
        <f>IF('INPUT DATA'!N25="","",'INPUT DATA'!N25)</f>
        <v/>
      </c>
      <c r="I30" s="3" t="str">
        <f>IF(H30="","",DATEDIF(H30,DATE(2026,6,8),"Y"))</f>
        <v/>
      </c>
      <c r="J30" s="3" t="str">
        <f>IF(H30="","",DATEDIF(H30,DATE(2026,6,8),"YM"))</f>
        <v/>
      </c>
      <c r="K30" s="3" t="str">
        <f>IF(H30="","",DATEDIF(H30,DATE(2027,4,8),"Y"))</f>
        <v/>
      </c>
      <c r="L30" s="3" t="str">
        <f>IF(H30="","",DATEDIF(H30,DATE(2027,4,8),"YM"))</f>
        <v/>
      </c>
      <c r="M30" t="str">
        <v>M</v>
      </c>
    </row>
    <row r="31" ht="15.75" customHeight="1">
      <c r="B31">
        <v>16</v>
      </c>
      <c r="C31" t="str">
        <f>IF('INPUT DATA'!L26="","",'INPUT DATA'!L26)</f>
        <v/>
      </c>
      <c r="F31" t="str">
        <f>IF('INPUT DATA'!M26="","",'INPUT DATA'!M26)</f>
        <v/>
      </c>
      <c r="H31" s="2" t="str">
        <f>IF('INPUT DATA'!N26="","",'INPUT DATA'!N26)</f>
        <v/>
      </c>
      <c r="I31" s="3" t="str">
        <f>IF(H31="","",DATEDIF(H31,DATE(2026,6,8),"Y"))</f>
        <v/>
      </c>
      <c r="J31" s="3" t="str">
        <f>IF(H31="","",DATEDIF(H31,DATE(2026,6,8),"YM"))</f>
        <v/>
      </c>
      <c r="K31" s="3" t="str">
        <f>IF(H31="","",DATEDIF(H31,DATE(2027,4,8),"Y"))</f>
        <v/>
      </c>
      <c r="L31" s="3" t="str">
        <f>IF(H31="","",DATEDIF(H31,DATE(2027,4,8),"YM"))</f>
        <v/>
      </c>
      <c r="M31" t="str">
        <v>M</v>
      </c>
    </row>
    <row r="32" ht="15.75" customHeight="1">
      <c r="B32">
        <v>17</v>
      </c>
      <c r="C32" t="str">
        <f>IF('INPUT DATA'!L27="","",'INPUT DATA'!L27)</f>
        <v/>
      </c>
      <c r="F32" t="str">
        <f>IF('INPUT DATA'!M27="","",'INPUT DATA'!M27)</f>
        <v/>
      </c>
      <c r="H32" s="2" t="str">
        <f>IF('INPUT DATA'!N27="","",'INPUT DATA'!N27)</f>
        <v/>
      </c>
      <c r="I32" s="3" t="str">
        <f>IF(H32="","",DATEDIF(H32,DATE(2026,6,8),"Y"))</f>
        <v/>
      </c>
      <c r="J32" s="3" t="str">
        <f>IF(H32="","",DATEDIF(H32,DATE(2026,6,8),"YM"))</f>
        <v/>
      </c>
      <c r="K32" s="3" t="str">
        <f>IF(H32="","",DATEDIF(H32,DATE(2027,4,8),"Y"))</f>
        <v/>
      </c>
      <c r="L32" s="3" t="str">
        <f>IF(H32="","",DATEDIF(H32,DATE(2027,4,8),"YM"))</f>
        <v/>
      </c>
      <c r="M32" t="str">
        <v>M</v>
      </c>
    </row>
    <row r="33" ht="15.75" customHeight="1">
      <c r="B33">
        <v>18</v>
      </c>
      <c r="C33" t="str">
        <f>IF('INPUT DATA'!L28="","",'INPUT DATA'!L28)</f>
        <v/>
      </c>
      <c r="F33" t="str">
        <f>IF('INPUT DATA'!M28="","",'INPUT DATA'!M28)</f>
        <v/>
      </c>
      <c r="H33" s="2" t="str">
        <f>IF('INPUT DATA'!N28="","",'INPUT DATA'!N28)</f>
        <v/>
      </c>
      <c r="I33" s="3" t="str">
        <f>IF(H33="","",DATEDIF(H33,DATE(2026,6,8),"Y"))</f>
        <v/>
      </c>
      <c r="J33" s="3" t="str">
        <f>IF(H33="","",DATEDIF(H33,DATE(2026,6,8),"YM"))</f>
        <v/>
      </c>
      <c r="K33" s="3" t="str">
        <f>IF(H33="","",DATEDIF(H33,DATE(2027,4,8),"Y"))</f>
        <v/>
      </c>
      <c r="L33" s="3" t="str">
        <f>IF(H33="","",DATEDIF(H33,DATE(2027,4,8),"YM"))</f>
        <v/>
      </c>
      <c r="M33" t="str">
        <v>M</v>
      </c>
    </row>
    <row r="34" ht="15.75" customHeight="1">
      <c r="B34">
        <v>19</v>
      </c>
      <c r="C34" t="str">
        <f>IF('INPUT DATA'!L29="","",'INPUT DATA'!L29)</f>
        <v/>
      </c>
      <c r="F34" t="str">
        <f>IF('INPUT DATA'!M29="","",'INPUT DATA'!M29)</f>
        <v/>
      </c>
      <c r="H34" s="2" t="str">
        <f>IF('INPUT DATA'!N29="","",'INPUT DATA'!N29)</f>
        <v/>
      </c>
      <c r="I34" s="3" t="str">
        <f>IF(H34="","",DATEDIF(H34,DATE(2026,6,8),"Y"))</f>
        <v/>
      </c>
      <c r="J34" s="3" t="str">
        <f>IF(H34="","",DATEDIF(H34,DATE(2026,6,8),"YM"))</f>
        <v/>
      </c>
      <c r="K34" s="3" t="str">
        <f>IF(H34="","",DATEDIF(H34,DATE(2027,4,8),"Y"))</f>
        <v/>
      </c>
      <c r="L34" s="3" t="str">
        <f>IF(H34="","",DATEDIF(H34,DATE(2027,4,8),"YM"))</f>
        <v/>
      </c>
      <c r="M34" t="str">
        <v>M</v>
      </c>
    </row>
    <row r="35" ht="15.75" customHeight="1">
      <c r="B35">
        <v>20</v>
      </c>
      <c r="C35" t="str">
        <f>IF('INPUT DATA'!L30="","",'INPUT DATA'!L30)</f>
        <v/>
      </c>
      <c r="F35" t="str">
        <f>IF('INPUT DATA'!M30="","",'INPUT DATA'!M30)</f>
        <v/>
      </c>
      <c r="H35" s="2" t="str">
        <f>IF('INPUT DATA'!N30="","",'INPUT DATA'!N30)</f>
        <v/>
      </c>
      <c r="I35" s="3" t="str">
        <f>IF(H35="","",DATEDIF(H35,DATE(2026,6,8),"Y"))</f>
        <v/>
      </c>
      <c r="J35" s="3" t="str">
        <f>IF(H35="","",DATEDIF(H35,DATE(2026,6,8),"YM"))</f>
        <v/>
      </c>
      <c r="K35" s="3" t="str">
        <f>IF(H35="","",DATEDIF(H35,DATE(2027,4,8),"Y"))</f>
        <v/>
      </c>
      <c r="L35" s="3" t="str">
        <f>IF(H35="","",DATEDIF(H35,DATE(2027,4,8),"YM"))</f>
        <v/>
      </c>
      <c r="M35" t="str">
        <v>M</v>
      </c>
    </row>
    <row r="36" ht="15.75" customHeight="1">
      <c r="B36">
        <v>21</v>
      </c>
      <c r="C36" t="str">
        <f>IF('INPUT DATA'!L31="","",'INPUT DATA'!L31)</f>
        <v/>
      </c>
      <c r="F36" t="str">
        <f>IF('INPUT DATA'!M31="","",'INPUT DATA'!M31)</f>
        <v/>
      </c>
      <c r="H36" s="2" t="str">
        <f>IF('INPUT DATA'!N31="","",'INPUT DATA'!N31)</f>
        <v/>
      </c>
      <c r="I36" s="3" t="str">
        <f>IF(H36="","",DATEDIF(H36,DATE(2026,6,8),"Y"))</f>
        <v/>
      </c>
      <c r="J36" s="3" t="str">
        <f>IF(H36="","",DATEDIF(H36,DATE(2026,6,8),"YM"))</f>
        <v/>
      </c>
      <c r="K36" s="3" t="str">
        <f>IF(H36="","",DATEDIF(H36,DATE(2027,4,8),"Y"))</f>
        <v/>
      </c>
      <c r="L36" s="3" t="str">
        <f>IF(H36="","",DATEDIF(H36,DATE(2027,4,8),"YM"))</f>
        <v/>
      </c>
      <c r="M36" t="str">
        <v>M</v>
      </c>
    </row>
    <row r="37" ht="15.75" customHeight="1">
      <c r="B37">
        <v>22</v>
      </c>
      <c r="C37" t="str">
        <f>IF('INPUT DATA'!L32="","",'INPUT DATA'!L32)</f>
        <v/>
      </c>
      <c r="F37" t="str">
        <f>IF('INPUT DATA'!M32="","",'INPUT DATA'!M32)</f>
        <v/>
      </c>
      <c r="H37" s="2" t="str">
        <f>IF('INPUT DATA'!N32="","",'INPUT DATA'!N32)</f>
        <v/>
      </c>
      <c r="I37" s="3" t="str">
        <f>IF(H37="","",DATEDIF(H37,DATE(2026,6,8),"Y"))</f>
        <v/>
      </c>
      <c r="J37" s="3" t="str">
        <f>IF(H37="","",DATEDIF(H37,DATE(2026,6,8),"YM"))</f>
        <v/>
      </c>
      <c r="K37" s="3" t="str">
        <f>IF(H37="","",DATEDIF(H37,DATE(2027,4,8),"Y"))</f>
        <v/>
      </c>
      <c r="L37" s="3" t="str">
        <f>IF(H37="","",DATEDIF(H37,DATE(2027,4,8),"YM"))</f>
        <v/>
      </c>
      <c r="M37" t="str">
        <v>M</v>
      </c>
    </row>
    <row r="38" ht="15.75" customHeight="1">
      <c r="B38">
        <v>23</v>
      </c>
      <c r="C38" t="str">
        <f>IF('INPUT DATA'!L33="","",'INPUT DATA'!L33)</f>
        <v/>
      </c>
      <c r="F38" t="str">
        <f>IF('INPUT DATA'!M33="","",'INPUT DATA'!M33)</f>
        <v/>
      </c>
      <c r="H38" s="2" t="str">
        <f>IF('INPUT DATA'!N33="","",'INPUT DATA'!N33)</f>
        <v/>
      </c>
      <c r="I38" s="3" t="str">
        <f>IF(H38="","",DATEDIF(H38,DATE(2026,6,8),"Y"))</f>
        <v/>
      </c>
      <c r="J38" s="3" t="str">
        <f>IF(H38="","",DATEDIF(H38,DATE(2026,6,8),"YM"))</f>
        <v/>
      </c>
      <c r="K38" s="3" t="str">
        <f>IF(H38="","",DATEDIF(H38,DATE(2027,4,8),"Y"))</f>
        <v/>
      </c>
      <c r="L38" s="3" t="str">
        <f>IF(H38="","",DATEDIF(H38,DATE(2027,4,8),"YM"))</f>
        <v/>
      </c>
      <c r="M38" t="str">
        <v>M</v>
      </c>
    </row>
    <row r="39" ht="15.75" customHeight="1">
      <c r="B39">
        <v>24</v>
      </c>
      <c r="C39" t="str">
        <f>IF('INPUT DATA'!L34="","",'INPUT DATA'!L34)</f>
        <v/>
      </c>
      <c r="F39" t="str">
        <f>IF('INPUT DATA'!M34="","",'INPUT DATA'!M34)</f>
        <v/>
      </c>
      <c r="H39" s="2" t="str">
        <f>IF('INPUT DATA'!N34="","",'INPUT DATA'!N34)</f>
        <v/>
      </c>
      <c r="I39" s="3" t="str">
        <f>IF(H39="","",DATEDIF(H39,DATE(2026,6,8),"Y"))</f>
        <v/>
      </c>
      <c r="J39" s="3" t="str">
        <f>IF(H39="","",DATEDIF(H39,DATE(2026,6,8),"YM"))</f>
        <v/>
      </c>
      <c r="K39" s="3" t="str">
        <f>IF(H39="","",DATEDIF(H39,DATE(2027,4,8),"Y"))</f>
        <v/>
      </c>
      <c r="L39" s="3" t="str">
        <f>IF(H39="","",DATEDIF(H39,DATE(2027,4,8),"YM"))</f>
        <v/>
      </c>
      <c r="M39" t="str">
        <v>M</v>
      </c>
    </row>
    <row r="40" ht="15.75" customHeight="1">
      <c r="B40">
        <v>25</v>
      </c>
      <c r="C40" t="str">
        <f>IF('INPUT DATA'!L35="","",'INPUT DATA'!L35)</f>
        <v/>
      </c>
      <c r="F40" t="str">
        <f>IF('INPUT DATA'!M35="","",'INPUT DATA'!M35)</f>
        <v/>
      </c>
      <c r="H40" s="2" t="str">
        <f>IF('INPUT DATA'!N35="","",'INPUT DATA'!N35)</f>
        <v/>
      </c>
      <c r="I40" s="3" t="str">
        <f>IF(H40="","",DATEDIF(H40,DATE(2026,6,8),"Y"))</f>
        <v/>
      </c>
      <c r="J40" s="3" t="str">
        <f>IF(H40="","",DATEDIF(H40,DATE(2026,6,8),"YM"))</f>
        <v/>
      </c>
      <c r="K40" s="3" t="str">
        <f>IF(H40="","",DATEDIF(H40,DATE(2027,4,8),"Y"))</f>
        <v/>
      </c>
      <c r="L40" s="3" t="str">
        <f>IF(H40="","",DATEDIF(H40,DATE(2027,4,8),"YM"))</f>
        <v/>
      </c>
      <c r="M40" t="str">
        <v>M</v>
      </c>
    </row>
    <row r="41" ht="15.75" customHeight="1">
      <c r="B41">
        <v>26</v>
      </c>
      <c r="C41" t="str">
        <f>IF('INPUT DATA'!L36="","",'INPUT DATA'!L36)</f>
        <v/>
      </c>
      <c r="F41" t="str">
        <f>IF('INPUT DATA'!M36="","",'INPUT DATA'!M36)</f>
        <v/>
      </c>
      <c r="H41" s="2" t="str">
        <f>IF('INPUT DATA'!N36="","",'INPUT DATA'!N36)</f>
        <v/>
      </c>
      <c r="I41" s="3" t="str">
        <f>IF(H41="","",DATEDIF(H41,DATE(2026,6,8),"Y"))</f>
        <v/>
      </c>
      <c r="J41" s="3" t="str">
        <f>IF(H41="","",DATEDIF(H41,DATE(2026,6,8),"YM"))</f>
        <v/>
      </c>
      <c r="K41" s="3" t="str">
        <f>IF(H41="","",DATEDIF(H41,DATE(2027,4,8),"Y"))</f>
        <v/>
      </c>
      <c r="L41" s="3" t="str">
        <f>IF(H41="","",DATEDIF(H41,DATE(2027,4,8),"YM"))</f>
        <v/>
      </c>
      <c r="M41" t="str">
        <v>M</v>
      </c>
    </row>
    <row r="42" ht="15.75" customHeight="1">
      <c r="B42">
        <v>27</v>
      </c>
      <c r="C42" t="str">
        <f>IF('INPUT DATA'!L37="","",'INPUT DATA'!L37)</f>
        <v/>
      </c>
      <c r="F42" t="str">
        <f>IF('INPUT DATA'!M37="","",'INPUT DATA'!M37)</f>
        <v/>
      </c>
      <c r="H42" s="2" t="str">
        <f>IF('INPUT DATA'!N37="","",'INPUT DATA'!N37)</f>
        <v/>
      </c>
      <c r="I42" s="3" t="str">
        <f>IF(H42="","",DATEDIF(H42,DATE(2026,6,8),"Y"))</f>
        <v/>
      </c>
      <c r="J42" s="3" t="str">
        <f>IF(H42="","",DATEDIF(H42,DATE(2026,6,8),"YM"))</f>
        <v/>
      </c>
      <c r="K42" s="3" t="str">
        <f>IF(H42="","",DATEDIF(H42,DATE(2027,4,8),"Y"))</f>
        <v/>
      </c>
      <c r="L42" s="3" t="str">
        <f>IF(H42="","",DATEDIF(H42,DATE(2027,4,8),"YM"))</f>
        <v/>
      </c>
      <c r="M42" t="str">
        <v>M</v>
      </c>
    </row>
    <row r="43" ht="15.75" customHeight="1">
      <c r="B43">
        <v>28</v>
      </c>
      <c r="C43" t="str">
        <f>IF('INPUT DATA'!L38="","",'INPUT DATA'!L38)</f>
        <v/>
      </c>
      <c r="F43" t="str">
        <f>IF('INPUT DATA'!M38="","",'INPUT DATA'!M38)</f>
        <v/>
      </c>
      <c r="H43" s="2" t="str">
        <f>IF('INPUT DATA'!N38="","",'INPUT DATA'!N38)</f>
        <v/>
      </c>
      <c r="I43" s="3" t="str">
        <f>IF(H43="","",DATEDIF(H43,DATE(2026,6,8),"Y"))</f>
        <v/>
      </c>
      <c r="J43" s="3" t="str">
        <f>IF(H43="","",DATEDIF(H43,DATE(2026,6,8),"YM"))</f>
        <v/>
      </c>
      <c r="K43" s="3" t="str">
        <f>IF(H43="","",DATEDIF(H43,DATE(2027,4,8),"Y"))</f>
        <v/>
      </c>
      <c r="L43" s="3" t="str">
        <f>IF(H43="","",DATEDIF(H43,DATE(2027,4,8),"YM"))</f>
        <v/>
      </c>
      <c r="M43" t="str">
        <v>M</v>
      </c>
    </row>
    <row r="44" ht="15.75" customHeight="1">
      <c r="B44">
        <v>29</v>
      </c>
      <c r="C44" t="str">
        <f>IF('INPUT DATA'!L39="","",'INPUT DATA'!L39)</f>
        <v/>
      </c>
      <c r="F44" t="str">
        <f>IF('INPUT DATA'!M39="","",'INPUT DATA'!M39)</f>
        <v/>
      </c>
      <c r="H44" s="2" t="str">
        <f>IF('INPUT DATA'!N39="","",'INPUT DATA'!N39)</f>
        <v/>
      </c>
      <c r="I44" s="3" t="str">
        <f>IF(H44="","",DATEDIF(H44,DATE(2026,6,8),"Y"))</f>
        <v/>
      </c>
      <c r="J44" s="3" t="str">
        <f>IF(H44="","",DATEDIF(H44,DATE(2026,6,8),"YM"))</f>
        <v/>
      </c>
      <c r="K44" s="3" t="str">
        <f>IF(H44="","",DATEDIF(H44,DATE(2027,4,8),"Y"))</f>
        <v/>
      </c>
      <c r="L44" s="3" t="str">
        <f>IF(H44="","",DATEDIF(H44,DATE(2027,4,8),"YM"))</f>
        <v/>
      </c>
      <c r="M44" t="str">
        <v>M</v>
      </c>
    </row>
    <row r="45" ht="15.75" customHeight="1">
      <c r="B45">
        <v>31</v>
      </c>
      <c r="C45" t="str">
        <f>IF('INPUT DATA'!L40="","",'INPUT DATA'!L40)</f>
        <v/>
      </c>
      <c r="F45" t="str">
        <f>IF('INPUT DATA'!M40="","",'INPUT DATA'!M40)</f>
        <v/>
      </c>
      <c r="H45" s="2" t="str">
        <f>IF('INPUT DATA'!N40="","",'INPUT DATA'!N40)</f>
        <v/>
      </c>
      <c r="I45" s="3" t="str">
        <f>IF(H45="","",DATEDIF(H45,DATE(2026,6,8),"Y"))</f>
        <v/>
      </c>
      <c r="J45" s="3" t="str">
        <f>IF(H45="","",DATEDIF(H45,DATE(2026,6,8),"YM"))</f>
        <v/>
      </c>
      <c r="K45" s="3" t="str">
        <f>IF(H45="","",DATEDIF(H45,DATE(2027,4,8),"Y"))</f>
        <v/>
      </c>
      <c r="L45" s="3" t="str">
        <f>IF(H45="","",DATEDIF(H45,DATE(2027,4,8),"YM"))</f>
        <v/>
      </c>
      <c r="M45" t="str">
        <v>M</v>
      </c>
    </row>
    <row r="46" ht="15.75" customHeight="1">
      <c r="B46">
        <v>32</v>
      </c>
      <c r="C46" t="str">
        <f>IF('INPUT DATA'!L41="","",'INPUT DATA'!L41)</f>
        <v/>
      </c>
      <c r="F46" t="str">
        <f>IF('INPUT DATA'!M41="","",'INPUT DATA'!M41)</f>
        <v/>
      </c>
      <c r="H46" s="2" t="str">
        <f>IF('INPUT DATA'!N41="","",'INPUT DATA'!N41)</f>
        <v/>
      </c>
      <c r="I46" s="3" t="str">
        <f>IF(H46="","",DATEDIF(H46,DATE(2026,6,8),"Y"))</f>
        <v/>
      </c>
      <c r="J46" s="3" t="str">
        <f>IF(H46="","",DATEDIF(H46,DATE(2026,6,8),"YM"))</f>
        <v/>
      </c>
      <c r="K46" s="3" t="str">
        <f>IF(H46="","",DATEDIF(H46,DATE(2027,4,8),"Y"))</f>
        <v/>
      </c>
      <c r="L46" s="3" t="str">
        <f>IF(H46="","",DATEDIF(H46,DATE(2027,4,8),"YM"))</f>
        <v/>
      </c>
      <c r="M46" t="str">
        <v>M</v>
      </c>
    </row>
    <row r="47" ht="15.75" customHeight="1">
      <c r="B47">
        <v>33</v>
      </c>
      <c r="C47" t="str">
        <f>IF('INPUT DATA'!L42="","",'INPUT DATA'!L42)</f>
        <v/>
      </c>
      <c r="F47" t="str">
        <f>IF('INPUT DATA'!M42="","",'INPUT DATA'!M42)</f>
        <v/>
      </c>
      <c r="H47" s="2" t="str">
        <f>IF('INPUT DATA'!N42="","",'INPUT DATA'!N42)</f>
        <v/>
      </c>
      <c r="I47" s="3" t="str">
        <f>IF(H47="","",DATEDIF(H47,DATE(2026,6,8),"Y"))</f>
        <v/>
      </c>
      <c r="J47" s="3" t="str">
        <f>IF(H47="","",DATEDIF(H47,DATE(2026,6,8),"YM"))</f>
        <v/>
      </c>
      <c r="K47" s="3" t="str">
        <f>IF(H47="","",DATEDIF(H47,DATE(2027,4,8),"Y"))</f>
        <v/>
      </c>
      <c r="L47" s="3" t="str">
        <f>IF(H47="","",DATEDIF(H47,DATE(2027,4,8),"YM"))</f>
        <v/>
      </c>
      <c r="M47" t="str">
        <v>M</v>
      </c>
    </row>
    <row r="48" ht="15.75" customHeight="1">
      <c r="B48">
        <v>34</v>
      </c>
      <c r="C48" t="str">
        <f>IF('INPUT DATA'!L43="","",'INPUT DATA'!L43)</f>
        <v/>
      </c>
      <c r="F48" t="str">
        <f>IF('INPUT DATA'!M43="","",'INPUT DATA'!M43)</f>
        <v/>
      </c>
      <c r="H48" s="2" t="str">
        <f>IF('INPUT DATA'!N43="","",'INPUT DATA'!N43)</f>
        <v/>
      </c>
      <c r="I48" s="3" t="str">
        <f>IF(H48="","",DATEDIF(H48,DATE(2026,6,8),"Y"))</f>
        <v/>
      </c>
      <c r="J48" s="3" t="str">
        <f>IF(H48="","",DATEDIF(H48,DATE(2026,6,8),"YM"))</f>
        <v/>
      </c>
      <c r="K48" s="3" t="str">
        <f>IF(H48="","",DATEDIF(H48,DATE(2027,4,8),"Y"))</f>
        <v/>
      </c>
      <c r="L48" s="3" t="str">
        <f>IF(H48="","",DATEDIF(H48,DATE(2027,4,8),"YM"))</f>
        <v/>
      </c>
      <c r="M48" t="str">
        <v>M</v>
      </c>
    </row>
    <row r="49" ht="15.75" customHeight="1">
      <c r="B49">
        <v>35</v>
      </c>
      <c r="C49" t="str">
        <f>IF('INPUT DATA'!L44="","",'INPUT DATA'!L44)</f>
        <v/>
      </c>
      <c r="F49" t="str">
        <f>IF('INPUT DATA'!M44="","",'INPUT DATA'!M44)</f>
        <v/>
      </c>
      <c r="H49" s="2" t="str">
        <f>IF('INPUT DATA'!N44="","",'INPUT DATA'!N44)</f>
        <v/>
      </c>
      <c r="I49" s="3" t="str">
        <f>IF(H49="","",DATEDIF(H49,DATE(2026,6,8),"Y"))</f>
        <v/>
      </c>
      <c r="J49" s="3" t="str">
        <f>IF(H49="","",DATEDIF(H49,DATE(2026,6,8),"YM"))</f>
        <v/>
      </c>
      <c r="K49" s="3" t="str">
        <f>IF(H49="","",DATEDIF(H49,DATE(2027,4,8),"Y"))</f>
        <v/>
      </c>
      <c r="L49" s="3" t="str">
        <f>IF(H49="","",DATEDIF(H49,DATE(2027,4,8),"YM"))</f>
        <v/>
      </c>
      <c r="M49" t="str">
        <v>M</v>
      </c>
    </row>
    <row r="50" ht="15.75" customHeight="1">
      <c r="B50">
        <v>36</v>
      </c>
      <c r="C50" t="str">
        <f>IF('INPUT DATA'!L45="","",'INPUT DATA'!L45)</f>
        <v/>
      </c>
      <c r="F50" t="str">
        <f>IF('INPUT DATA'!M45="","",'INPUT DATA'!M45)</f>
        <v/>
      </c>
      <c r="H50" s="2" t="str">
        <f>IF('INPUT DATA'!N45="","",'INPUT DATA'!N45)</f>
        <v/>
      </c>
      <c r="I50" s="3" t="str">
        <f>IF(H50="","",DATEDIF(H50,DATE(2026,6,8),"Y"))</f>
        <v/>
      </c>
      <c r="J50" s="3" t="str">
        <f>IF(H50="","",DATEDIF(H50,DATE(2026,6,8),"YM"))</f>
        <v/>
      </c>
      <c r="K50" s="3" t="str">
        <f>IF(H50="","",DATEDIF(H50,DATE(2027,4,8),"Y"))</f>
        <v/>
      </c>
      <c r="L50" s="3" t="str">
        <f>IF(H50="","",DATEDIF(H50,DATE(2027,4,8),"YM"))</f>
        <v/>
      </c>
      <c r="M50" t="str">
        <v>M</v>
      </c>
    </row>
    <row r="51" ht="15.75" customHeight="1">
      <c r="B51">
        <v>37</v>
      </c>
      <c r="C51" t="str">
        <f>IF('INPUT DATA'!L46="","",'INPUT DATA'!L46)</f>
        <v/>
      </c>
      <c r="F51" t="str">
        <f>IF('INPUT DATA'!M46="","",'INPUT DATA'!M46)</f>
        <v/>
      </c>
      <c r="H51" s="2" t="str">
        <f>IF('INPUT DATA'!N46="","",'INPUT DATA'!N46)</f>
        <v/>
      </c>
      <c r="I51" s="3" t="str">
        <f>IF(H51="","",DATEDIF(H51,DATE(2026,6,8),"Y"))</f>
        <v/>
      </c>
      <c r="J51" s="3" t="str">
        <f>IF(H51="","",DATEDIF(H51,DATE(2026,6,8),"YM"))</f>
        <v/>
      </c>
      <c r="K51" s="3" t="str">
        <f>IF(H51="","",DATEDIF(H51,DATE(2027,4,8),"Y"))</f>
        <v/>
      </c>
      <c r="L51" s="3" t="str">
        <f>IF(H51="","",DATEDIF(H51,DATE(2027,4,8),"YM"))</f>
        <v/>
      </c>
      <c r="M51" t="str">
        <v>M</v>
      </c>
    </row>
    <row r="52" ht="15.75" customHeight="1">
      <c r="B52">
        <v>38</v>
      </c>
      <c r="C52" t="str">
        <f>IF('INPUT DATA'!L47="","",'INPUT DATA'!L47)</f>
        <v/>
      </c>
      <c r="F52" t="str">
        <f>IF('INPUT DATA'!M47="","",'INPUT DATA'!M47)</f>
        <v/>
      </c>
      <c r="H52" s="2" t="str">
        <f>IF('INPUT DATA'!N47="","",'INPUT DATA'!N47)</f>
        <v/>
      </c>
      <c r="I52" s="3" t="str">
        <f>IF(H52="","",DATEDIF(H52,DATE(2026,6,8),"Y"))</f>
        <v/>
      </c>
      <c r="J52" s="3" t="str">
        <f>IF(H52="","",DATEDIF(H52,DATE(2026,6,8),"YM"))</f>
        <v/>
      </c>
      <c r="K52" s="3" t="str">
        <f>IF(H52="","",DATEDIF(H52,DATE(2027,4,8),"Y"))</f>
        <v/>
      </c>
      <c r="L52" s="3" t="str">
        <f>IF(H52="","",DATEDIF(H52,DATE(2027,4,8),"YM"))</f>
        <v/>
      </c>
      <c r="M52" t="str">
        <v>M</v>
      </c>
    </row>
    <row r="53" ht="15.75" customHeight="1">
      <c r="B53">
        <v>39</v>
      </c>
      <c r="C53" t="str">
        <f>IF('INPUT DATA'!L48="","",'INPUT DATA'!L48)</f>
        <v/>
      </c>
      <c r="F53" t="str">
        <f>IF('INPUT DATA'!M48="","",'INPUT DATA'!M48)</f>
        <v/>
      </c>
      <c r="H53" s="2" t="str">
        <f>IF('INPUT DATA'!N48="","",'INPUT DATA'!N48)</f>
        <v/>
      </c>
      <c r="I53" s="3" t="str">
        <f>IF(H53="","",DATEDIF(H53,DATE(2026,6,8),"Y"))</f>
        <v/>
      </c>
      <c r="J53" s="3" t="str">
        <f>IF(H53="","",DATEDIF(H53,DATE(2026,6,8),"YM"))</f>
        <v/>
      </c>
      <c r="K53" s="3" t="str">
        <f>IF(H53="","",DATEDIF(H53,DATE(2027,4,8),"Y"))</f>
        <v/>
      </c>
      <c r="L53" s="3" t="str">
        <f>IF(H53="","",DATEDIF(H53,DATE(2027,4,8),"YM"))</f>
        <v/>
      </c>
      <c r="M53" t="str">
        <v>M</v>
      </c>
    </row>
    <row r="54" ht="15.75" customHeight="1">
      <c r="B54">
        <v>40</v>
      </c>
      <c r="C54" t="str">
        <f>IF('INPUT DATA'!L49="","",'INPUT DATA'!L49)</f>
        <v/>
      </c>
      <c r="F54" t="str">
        <f>IF('INPUT DATA'!M49="","",'INPUT DATA'!M49)</f>
        <v/>
      </c>
      <c r="H54" s="2" t="str">
        <f>IF('INPUT DATA'!N49="","",'INPUT DATA'!N49)</f>
        <v/>
      </c>
      <c r="I54" s="3" t="str">
        <f>IF(H54="","",DATEDIF(H54,DATE(2026,6,8),"Y"))</f>
        <v/>
      </c>
      <c r="J54" s="3" t="str">
        <f>IF(H54="","",DATEDIF(H54,DATE(2026,6,8),"YM"))</f>
        <v/>
      </c>
      <c r="K54" s="3" t="str">
        <f>IF(H54="","",DATEDIF(H54,DATE(2027,4,8),"Y"))</f>
        <v/>
      </c>
      <c r="L54" s="3" t="str">
        <f>IF(H54="","",DATEDIF(H54,DATE(2027,4,8),"YM"))</f>
        <v/>
      </c>
      <c r="M54" t="str">
        <v>M</v>
      </c>
    </row>
    <row r="55" ht="15.75" customHeight="1">
      <c r="B55">
        <v>41</v>
      </c>
      <c r="C55" t="str">
        <f>IF('INPUT DATA'!L50="","",'INPUT DATA'!L50)</f>
        <v/>
      </c>
      <c r="F55" t="str">
        <f>IF('INPUT DATA'!M50="","",'INPUT DATA'!M50)</f>
        <v/>
      </c>
      <c r="H55" s="2" t="str">
        <f>IF('INPUT DATA'!N50="","",'INPUT DATA'!N50)</f>
        <v/>
      </c>
      <c r="I55" s="3" t="str">
        <f>IF(H55="","",DATEDIF(H55,DATE(2026,6,8),"Y"))</f>
        <v/>
      </c>
      <c r="J55" s="3" t="str">
        <f>IF(H55="","",DATEDIF(H55,DATE(2026,6,8),"YM"))</f>
        <v/>
      </c>
      <c r="K55" s="3" t="str">
        <f>IF(H55="","",DATEDIF(H55,DATE(2027,4,8),"Y"))</f>
        <v/>
      </c>
      <c r="L55" s="3" t="str">
        <f>IF(H55="","",DATEDIF(H55,DATE(2027,4,8),"YM"))</f>
        <v/>
      </c>
      <c r="M55" t="str">
        <v>M</v>
      </c>
    </row>
    <row r="56" ht="15.75" customHeight="1">
      <c r="B56">
        <v>42</v>
      </c>
      <c r="C56" t="str">
        <f>IF('INPUT DATA'!L51="","",'INPUT DATA'!L51)</f>
        <v/>
      </c>
      <c r="F56" t="str">
        <f>IF('INPUT DATA'!M51="","",'INPUT DATA'!M51)</f>
        <v/>
      </c>
      <c r="H56" s="2" t="str">
        <f>IF('INPUT DATA'!N51="","",'INPUT DATA'!N51)</f>
        <v/>
      </c>
      <c r="I56" s="3" t="str">
        <f>IF(H56="","",DATEDIF(H56,DATE(2026,6,8),"Y"))</f>
        <v/>
      </c>
      <c r="J56" s="3" t="str">
        <f>IF(H56="","",DATEDIF(H56,DATE(2026,6,8),"YM"))</f>
        <v/>
      </c>
      <c r="K56" s="3" t="str">
        <f>IF(H56="","",DATEDIF(H56,DATE(2027,4,8),"Y"))</f>
        <v/>
      </c>
      <c r="L56" s="3" t="str">
        <f>IF(H56="","",DATEDIF(H56,DATE(2027,4,8),"YM"))</f>
        <v/>
      </c>
      <c r="M56" t="str">
        <v>M</v>
      </c>
    </row>
    <row r="57" ht="15.75" customHeight="1">
      <c r="B57">
        <v>43</v>
      </c>
      <c r="C57" t="str">
        <f>IF('INPUT DATA'!L52="","",'INPUT DATA'!L52)</f>
        <v/>
      </c>
      <c r="F57" t="str">
        <f>IF('INPUT DATA'!M52="","",'INPUT DATA'!M52)</f>
        <v/>
      </c>
      <c r="H57" s="2" t="str">
        <f>IF('INPUT DATA'!N52="","",'INPUT DATA'!N52)</f>
        <v/>
      </c>
      <c r="I57" s="3" t="str">
        <f>IF(H57="","",DATEDIF(H57,DATE(2026,6,8),"Y"))</f>
        <v/>
      </c>
      <c r="J57" s="3" t="str">
        <f>IF(H57="","",DATEDIF(H57,DATE(2026,6,8),"YM"))</f>
        <v/>
      </c>
      <c r="K57" s="3" t="str">
        <f>IF(H57="","",DATEDIF(H57,DATE(2027,4,8),"Y"))</f>
        <v/>
      </c>
      <c r="L57" s="3" t="str">
        <f>IF(H57="","",DATEDIF(H57,DATE(2027,4,8),"YM"))</f>
        <v/>
      </c>
      <c r="M57" t="str">
        <v>M</v>
      </c>
    </row>
    <row r="58" ht="15.75" customHeight="1">
      <c r="B58">
        <v>44</v>
      </c>
      <c r="C58" t="str">
        <f>IF('INPUT DATA'!L53="","",'INPUT DATA'!L53)</f>
        <v/>
      </c>
      <c r="F58" t="str">
        <f>IF('INPUT DATA'!M53="","",'INPUT DATA'!M53)</f>
        <v/>
      </c>
      <c r="H58" s="2" t="str">
        <f>IF('INPUT DATA'!N53="","",'INPUT DATA'!N53)</f>
        <v/>
      </c>
      <c r="I58" s="3" t="str">
        <f>IF(H58="","",DATEDIF(H58,DATE(2026,6,8),"Y"))</f>
        <v/>
      </c>
      <c r="J58" s="3" t="str">
        <f>IF(H58="","",DATEDIF(H58,DATE(2026,6,8),"YM"))</f>
        <v/>
      </c>
      <c r="K58" s="3" t="str">
        <f>IF(H58="","",DATEDIF(H58,DATE(2027,4,8),"Y"))</f>
        <v/>
      </c>
      <c r="L58" s="3" t="str">
        <f>IF(H58="","",DATEDIF(H58,DATE(2027,4,8),"YM"))</f>
        <v/>
      </c>
      <c r="M58" t="str">
        <v>M</v>
      </c>
    </row>
    <row r="59" ht="15.75" customHeight="1">
      <c r="B59">
        <v>45</v>
      </c>
      <c r="C59" t="str">
        <f>IF('INPUT DATA'!L54="","",'INPUT DATA'!L54)</f>
        <v/>
      </c>
      <c r="F59" t="str">
        <f>IF('INPUT DATA'!M54="","",'INPUT DATA'!M54)</f>
        <v/>
      </c>
      <c r="H59" s="2" t="str">
        <f>IF('INPUT DATA'!N54="","",'INPUT DATA'!N54)</f>
        <v/>
      </c>
      <c r="I59" s="3" t="str">
        <f>IF(H59="","",DATEDIF(H59,DATE(2026,6,8),"Y"))</f>
        <v/>
      </c>
      <c r="J59" s="3" t="str">
        <f>IF(H59="","",DATEDIF(H59,DATE(2026,6,8),"YM"))</f>
        <v/>
      </c>
      <c r="K59" s="3" t="str">
        <f>IF(H59="","",DATEDIF(H59,DATE(2027,4,8),"Y"))</f>
        <v/>
      </c>
      <c r="L59" s="3" t="str">
        <f>IF(H59="","",DATEDIF(H59,DATE(2027,4,8),"YM"))</f>
        <v/>
      </c>
      <c r="M59" t="str">
        <v>M</v>
      </c>
    </row>
    <row r="60" ht="15.75" customHeight="1">
      <c r="B60">
        <v>46</v>
      </c>
      <c r="C60" t="str">
        <f>IF('INPUT DATA'!L55="","",'INPUT DATA'!L55)</f>
        <v/>
      </c>
      <c r="F60" t="str">
        <f>IF('INPUT DATA'!M55="","",'INPUT DATA'!M55)</f>
        <v/>
      </c>
      <c r="H60" s="2" t="str">
        <f>IF('INPUT DATA'!N55="","",'INPUT DATA'!N55)</f>
        <v/>
      </c>
      <c r="I60" s="3" t="str">
        <f>IF(H60="","",DATEDIF(H60,DATE(2026,6,8),"Y"))</f>
        <v/>
      </c>
      <c r="J60" s="3" t="str">
        <f>IF(H60="","",DATEDIF(H60,DATE(2026,6,8),"YM"))</f>
        <v/>
      </c>
      <c r="K60" s="3" t="str">
        <f>IF(H60="","",DATEDIF(H60,DATE(2027,4,8),"Y"))</f>
        <v/>
      </c>
      <c r="L60" s="3" t="str">
        <f>IF(H60="","",DATEDIF(H60,DATE(2027,4,8),"YM"))</f>
        <v/>
      </c>
      <c r="M60" t="str">
        <v>M</v>
      </c>
    </row>
    <row r="61" ht="15.75" customHeight="1">
      <c r="B61">
        <v>47</v>
      </c>
      <c r="C61" t="str">
        <f>IF('INPUT DATA'!L56="","",'INPUT DATA'!L56)</f>
        <v/>
      </c>
      <c r="F61" t="str">
        <f>IF('INPUT DATA'!M56="","",'INPUT DATA'!M56)</f>
        <v/>
      </c>
      <c r="H61" s="2" t="str">
        <f>IF('INPUT DATA'!N56="","",'INPUT DATA'!N56)</f>
        <v/>
      </c>
      <c r="I61" s="3" t="str">
        <f>IF(H61="","",DATEDIF(H61,DATE(2026,6,8),"Y"))</f>
        <v/>
      </c>
      <c r="J61" s="3" t="str">
        <f>IF(H61="","",DATEDIF(H61,DATE(2026,6,8),"YM"))</f>
        <v/>
      </c>
      <c r="K61" s="3" t="str">
        <f>IF(H61="","",DATEDIF(H61,DATE(2027,4,8),"Y"))</f>
        <v/>
      </c>
      <c r="L61" s="3" t="str">
        <f>IF(H61="","",DATEDIF(H61,DATE(2027,4,8),"YM"))</f>
        <v/>
      </c>
      <c r="M61" t="str">
        <v>M</v>
      </c>
    </row>
    <row r="62" ht="15.75" customHeight="1">
      <c r="B62">
        <v>48</v>
      </c>
      <c r="C62" t="str">
        <f>IF('INPUT DATA'!L57="","",'INPUT DATA'!L57)</f>
        <v/>
      </c>
      <c r="F62" t="str">
        <f>IF('INPUT DATA'!M57="","",'INPUT DATA'!M57)</f>
        <v/>
      </c>
      <c r="H62" s="2" t="str">
        <f>IF('INPUT DATA'!N57="","",'INPUT DATA'!N57)</f>
        <v/>
      </c>
      <c r="I62" s="3" t="str">
        <f>IF(H62="","",DATEDIF(H62,DATE(2026,6,8),"Y"))</f>
        <v/>
      </c>
      <c r="J62" s="3" t="str">
        <f>IF(H62="","",DATEDIF(H62,DATE(2026,6,8),"YM"))</f>
        <v/>
      </c>
      <c r="K62" s="3" t="str">
        <f>IF(H62="","",DATEDIF(H62,DATE(2027,4,8),"Y"))</f>
        <v/>
      </c>
      <c r="L62" s="3" t="str">
        <f>IF(H62="","",DATEDIF(H62,DATE(2027,4,8),"YM"))</f>
        <v/>
      </c>
      <c r="M62" t="str">
        <v>M</v>
      </c>
    </row>
    <row r="63" ht="15.75" customHeight="1">
      <c r="B63">
        <v>49</v>
      </c>
      <c r="C63" t="str">
        <f>IF('INPUT DATA'!L58="","",'INPUT DATA'!L58)</f>
        <v/>
      </c>
      <c r="F63" t="str">
        <f>IF('INPUT DATA'!M58="","",'INPUT DATA'!M58)</f>
        <v/>
      </c>
      <c r="H63" s="2" t="str">
        <f>IF('INPUT DATA'!N58="","",'INPUT DATA'!N58)</f>
        <v/>
      </c>
      <c r="I63" s="3" t="str">
        <f>IF(H63="","",DATEDIF(H63,DATE(2026,6,8),"Y"))</f>
        <v/>
      </c>
      <c r="J63" s="3" t="str">
        <f>IF(H63="","",DATEDIF(H63,DATE(2026,6,8),"YM"))</f>
        <v/>
      </c>
      <c r="K63" s="3" t="str">
        <f>IF(H63="","",DATEDIF(H63,DATE(2027,4,8),"Y"))</f>
        <v/>
      </c>
      <c r="L63" s="3" t="str">
        <f>IF(H63="","",DATEDIF(H63,DATE(2027,4,8),"YM"))</f>
        <v/>
      </c>
      <c r="M63" t="str">
        <v>M</v>
      </c>
    </row>
    <row r="64" ht="15.75" customHeight="1">
      <c r="B64">
        <v>50</v>
      </c>
      <c r="C64" t="str">
        <f>IF('INPUT DATA'!L59="","",'INPUT DATA'!L59)</f>
        <v/>
      </c>
      <c r="F64" t="str">
        <f>IF('INPUT DATA'!M59="","",'INPUT DATA'!M59)</f>
        <v/>
      </c>
      <c r="H64" s="2" t="str">
        <f>IF('INPUT DATA'!N59="","",'INPUT DATA'!N59)</f>
        <v/>
      </c>
      <c r="I64" s="3" t="str">
        <f>IF(H64="","",DATEDIF(H64,DATE(2026,6,8),"Y"))</f>
        <v/>
      </c>
      <c r="J64" s="3" t="str">
        <f>IF(H64="","",DATEDIF(H64,DATE(2026,6,8),"YM"))</f>
        <v/>
      </c>
      <c r="K64" s="3" t="str">
        <f>IF(H64="","",DATEDIF(H64,DATE(2027,4,8),"Y"))</f>
        <v/>
      </c>
      <c r="L64" s="3" t="str">
        <f>IF(H64="","",DATEDIF(H64,DATE(2027,4,8),"YM"))</f>
        <v/>
      </c>
      <c r="M64" t="str">
        <v>M</v>
      </c>
    </row>
    <row r="65" ht="15.75" customHeight="1">
      <c r="B65" t="str">
        <v>FEMALE</v>
      </c>
    </row>
    <row r="66" ht="15.75" customHeight="1">
      <c r="B66">
        <v>1</v>
      </c>
      <c r="C66" t="str">
        <f>IF('INPUT DATA'!Q11="","",'INPUT DATA'!Q11)</f>
        <v/>
      </c>
      <c r="F66" t="str">
        <f>IF('INPUT DATA'!R11="","",'INPUT DATA'!R11)</f>
        <v/>
      </c>
      <c r="H66" s="2" t="str">
        <f>IF('INPUT DATA'!S11="","",'INPUT DATA'!S11)</f>
        <v/>
      </c>
      <c r="I66" s="3" t="str">
        <f>IF(H66="","",DATEDIF(H66,DATE(2026,6,8),"Y"))</f>
        <v/>
      </c>
      <c r="J66" s="3" t="str">
        <f>IF(H66="","",DATEDIF(H66,DATE(2026,6,8),"YM"))</f>
        <v/>
      </c>
      <c r="K66" s="3" t="str">
        <f>IF(H66="","",DATEDIF(H66,DATE(2027,4,8),"Y"))</f>
        <v/>
      </c>
      <c r="L66" s="3" t="str">
        <f>IF(H66="","",DATEDIF(H66,DATE(2027,4,8),"YM"))</f>
        <v/>
      </c>
      <c r="M66" t="str">
        <v>F</v>
      </c>
    </row>
    <row r="67" ht="15.75" customHeight="1">
      <c r="B67">
        <v>2</v>
      </c>
      <c r="C67" t="str">
        <f>IF('INPUT DATA'!Q12="","",'INPUT DATA'!Q12)</f>
        <v/>
      </c>
      <c r="F67" t="str">
        <f>IF('INPUT DATA'!R12="","",'INPUT DATA'!R12)</f>
        <v/>
      </c>
      <c r="H67" s="2" t="str">
        <f>IF('INPUT DATA'!S12="","",'INPUT DATA'!S12)</f>
        <v/>
      </c>
      <c r="I67" s="3" t="str">
        <f>IF(H67="","",DATEDIF(H67,DATE(2026,6,8),"Y"))</f>
        <v/>
      </c>
      <c r="J67" s="3" t="str">
        <f>IF(H67="","",DATEDIF(H67,DATE(2026,6,8),"YM"))</f>
        <v/>
      </c>
      <c r="K67" s="3" t="str">
        <f>IF(H67="","",DATEDIF(H67,DATE(2027,4,8),"Y"))</f>
        <v/>
      </c>
      <c r="L67" s="3" t="str">
        <f>IF(H67="","",DATEDIF(H67,DATE(2027,4,8),"YM"))</f>
        <v/>
      </c>
      <c r="M67" t="str">
        <v>F</v>
      </c>
    </row>
    <row r="68" ht="15.75" customHeight="1">
      <c r="B68">
        <v>3</v>
      </c>
      <c r="C68" t="str">
        <f>IF('INPUT DATA'!Q13="","",'INPUT DATA'!Q13)</f>
        <v/>
      </c>
      <c r="F68" t="str">
        <f>IF('INPUT DATA'!R13="","",'INPUT DATA'!R13)</f>
        <v/>
      </c>
      <c r="H68" s="2" t="str">
        <f>IF('INPUT DATA'!S13="","",'INPUT DATA'!S13)</f>
        <v/>
      </c>
      <c r="I68" s="3" t="str">
        <f>IF(H68="","",DATEDIF(H68,DATE(2026,6,8),"Y"))</f>
        <v/>
      </c>
      <c r="J68" s="3" t="str">
        <f>IF(H68="","",DATEDIF(H68,DATE(2026,6,8),"YM"))</f>
        <v/>
      </c>
      <c r="K68" s="3" t="str">
        <f>IF(H68="","",DATEDIF(H68,DATE(2027,4,8),"Y"))</f>
        <v/>
      </c>
      <c r="L68" s="3" t="str">
        <f>IF(H68="","",DATEDIF(H68,DATE(2027,4,8),"YM"))</f>
        <v/>
      </c>
      <c r="M68" t="str">
        <v>F</v>
      </c>
    </row>
    <row r="69" ht="15.75" customHeight="1">
      <c r="B69">
        <v>4</v>
      </c>
      <c r="C69" t="str">
        <f>IF('INPUT DATA'!Q14="","",'INPUT DATA'!Q14)</f>
        <v/>
      </c>
      <c r="F69" t="str">
        <f>IF('INPUT DATA'!R14="","",'INPUT DATA'!R14)</f>
        <v/>
      </c>
      <c r="H69" s="2" t="str">
        <f>IF('INPUT DATA'!S14="","",'INPUT DATA'!S14)</f>
        <v/>
      </c>
      <c r="I69" s="3" t="str">
        <f>IF(H69="","",DATEDIF(H69,DATE(2026,6,8),"Y"))</f>
        <v/>
      </c>
      <c r="J69" s="3" t="str">
        <f>IF(H69="","",DATEDIF(H69,DATE(2026,6,8),"YM"))</f>
        <v/>
      </c>
      <c r="K69" s="3" t="str">
        <f>IF(H69="","",DATEDIF(H69,DATE(2027,4,8),"Y"))</f>
        <v/>
      </c>
      <c r="L69" s="3" t="str">
        <f>IF(H69="","",DATEDIF(H69,DATE(2027,4,8),"YM"))</f>
        <v/>
      </c>
      <c r="M69" t="str">
        <v>F</v>
      </c>
    </row>
    <row r="70" ht="15.75" customHeight="1">
      <c r="B70">
        <v>5</v>
      </c>
      <c r="C70" t="str">
        <f>IF('INPUT DATA'!Q15="","",'INPUT DATA'!Q15)</f>
        <v/>
      </c>
      <c r="F70" t="str">
        <f>IF('INPUT DATA'!R15="","",'INPUT DATA'!R15)</f>
        <v/>
      </c>
      <c r="H70" s="2" t="str">
        <f>IF('INPUT DATA'!S15="","",'INPUT DATA'!S15)</f>
        <v/>
      </c>
      <c r="I70" s="3" t="str">
        <f>IF(H70="","",DATEDIF(H70,DATE(2026,6,8),"Y"))</f>
        <v/>
      </c>
      <c r="J70" s="3" t="str">
        <f>IF(H70="","",DATEDIF(H70,DATE(2026,6,8),"YM"))</f>
        <v/>
      </c>
      <c r="K70" s="3" t="str">
        <f>IF(H70="","",DATEDIF(H70,DATE(2027,4,8),"Y"))</f>
        <v/>
      </c>
      <c r="L70" s="3" t="str">
        <f>IF(H70="","",DATEDIF(H70,DATE(2027,4,8),"YM"))</f>
        <v/>
      </c>
      <c r="M70" t="str">
        <v>F</v>
      </c>
    </row>
    <row r="71" ht="15.75" customHeight="1">
      <c r="B71">
        <v>6</v>
      </c>
      <c r="C71" t="str">
        <f>IF('INPUT DATA'!Q16="","",'INPUT DATA'!Q16)</f>
        <v/>
      </c>
      <c r="F71" t="str">
        <f>IF('INPUT DATA'!R16="","",'INPUT DATA'!R16)</f>
        <v/>
      </c>
      <c r="H71" s="2" t="str">
        <f>IF('INPUT DATA'!S16="","",'INPUT DATA'!S16)</f>
        <v/>
      </c>
      <c r="I71" s="3" t="str">
        <f>IF(H71="","",DATEDIF(H71,DATE(2026,6,8),"Y"))</f>
        <v/>
      </c>
      <c r="J71" s="3" t="str">
        <f>IF(H71="","",DATEDIF(H71,DATE(2026,6,8),"YM"))</f>
        <v/>
      </c>
      <c r="K71" s="3" t="str">
        <f>IF(H71="","",DATEDIF(H71,DATE(2027,4,8),"Y"))</f>
        <v/>
      </c>
      <c r="L71" s="3" t="str">
        <f>IF(H71="","",DATEDIF(H71,DATE(2027,4,8),"YM"))</f>
        <v/>
      </c>
      <c r="M71" t="str">
        <v>F</v>
      </c>
    </row>
    <row r="72" ht="15.75" customHeight="1">
      <c r="B72">
        <v>7</v>
      </c>
      <c r="C72" t="str">
        <f>IF('INPUT DATA'!Q17="","",'INPUT DATA'!Q17)</f>
        <v/>
      </c>
      <c r="F72" t="str">
        <f>IF('INPUT DATA'!R17="","",'INPUT DATA'!R17)</f>
        <v/>
      </c>
      <c r="H72" s="2" t="str">
        <f>IF('INPUT DATA'!S17="","",'INPUT DATA'!S17)</f>
        <v/>
      </c>
      <c r="I72" s="3" t="str">
        <f>IF(H72="","",DATEDIF(H72,DATE(2026,6,8),"Y"))</f>
        <v/>
      </c>
      <c r="J72" s="3" t="str">
        <f>IF(H72="","",DATEDIF(H72,DATE(2026,6,8),"YM"))</f>
        <v/>
      </c>
      <c r="K72" s="3" t="str">
        <f>IF(H72="","",DATEDIF(H72,DATE(2027,4,8),"Y"))</f>
        <v/>
      </c>
      <c r="L72" s="3" t="str">
        <f>IF(H72="","",DATEDIF(H72,DATE(2027,4,8),"YM"))</f>
        <v/>
      </c>
      <c r="M72" t="str">
        <v>F</v>
      </c>
    </row>
    <row r="73" ht="15.75" customHeight="1">
      <c r="B73">
        <v>8</v>
      </c>
      <c r="C73" t="str">
        <f>IF('INPUT DATA'!Q18="","",'INPUT DATA'!Q18)</f>
        <v/>
      </c>
      <c r="F73" t="str">
        <f>IF('INPUT DATA'!R18="","",'INPUT DATA'!R18)</f>
        <v/>
      </c>
      <c r="H73" s="2" t="str">
        <f>IF('INPUT DATA'!S18="","",'INPUT DATA'!S18)</f>
        <v/>
      </c>
      <c r="I73" s="3" t="str">
        <f>IF(H73="","",DATEDIF(H73,DATE(2026,6,8),"Y"))</f>
        <v/>
      </c>
      <c r="J73" s="3" t="str">
        <f>IF(H73="","",DATEDIF(H73,DATE(2026,6,8),"YM"))</f>
        <v/>
      </c>
      <c r="K73" s="3" t="str">
        <f>IF(H73="","",DATEDIF(H73,DATE(2027,4,8),"Y"))</f>
        <v/>
      </c>
      <c r="L73" s="3" t="str">
        <f>IF(H73="","",DATEDIF(H73,DATE(2027,4,8),"YM"))</f>
        <v/>
      </c>
      <c r="M73" t="str">
        <v>F</v>
      </c>
    </row>
    <row r="74" ht="15.75" customHeight="1">
      <c r="B74">
        <v>9</v>
      </c>
      <c r="C74" t="str">
        <f>IF('INPUT DATA'!Q19="","",'INPUT DATA'!Q19)</f>
        <v/>
      </c>
      <c r="F74" t="str">
        <f>IF('INPUT DATA'!R19="","",'INPUT DATA'!R19)</f>
        <v/>
      </c>
      <c r="H74" s="2" t="str">
        <f>IF('INPUT DATA'!S19="","",'INPUT DATA'!S19)</f>
        <v/>
      </c>
      <c r="I74" s="3" t="str">
        <f>IF(H74="","",DATEDIF(H74,DATE(2026,6,8),"Y"))</f>
        <v/>
      </c>
      <c r="J74" s="3" t="str">
        <f>IF(H74="","",DATEDIF(H74,DATE(2026,6,8),"YM"))</f>
        <v/>
      </c>
      <c r="K74" s="3" t="str">
        <f>IF(H74="","",DATEDIF(H74,DATE(2027,4,8),"Y"))</f>
        <v/>
      </c>
      <c r="L74" s="3" t="str">
        <f>IF(H74="","",DATEDIF(H74,DATE(2027,4,8),"YM"))</f>
        <v/>
      </c>
      <c r="M74" t="str">
        <v>F</v>
      </c>
    </row>
    <row r="75" ht="15.75" customHeight="1">
      <c r="B75">
        <v>10</v>
      </c>
      <c r="C75" t="str">
        <f>IF('INPUT DATA'!Q20="","",'INPUT DATA'!Q20)</f>
        <v/>
      </c>
      <c r="F75" t="str">
        <f>IF('INPUT DATA'!R20="","",'INPUT DATA'!R20)</f>
        <v/>
      </c>
      <c r="H75" s="2" t="str">
        <f>IF('INPUT DATA'!S20="","",'INPUT DATA'!S20)</f>
        <v/>
      </c>
      <c r="I75" s="3" t="str">
        <f>IF(H75="","",DATEDIF(H75,DATE(2026,6,8),"Y"))</f>
        <v/>
      </c>
      <c r="J75" s="3" t="str">
        <f>IF(H75="","",DATEDIF(H75,DATE(2026,6,8),"YM"))</f>
        <v/>
      </c>
      <c r="K75" s="3" t="str">
        <f>IF(H75="","",DATEDIF(H75,DATE(2027,4,8),"Y"))</f>
        <v/>
      </c>
      <c r="L75" s="3" t="str">
        <f>IF(H75="","",DATEDIF(H75,DATE(2027,4,8),"YM"))</f>
        <v/>
      </c>
      <c r="M75" t="str">
        <v>F</v>
      </c>
    </row>
    <row r="76" ht="15.75" customHeight="1">
      <c r="B76">
        <v>11</v>
      </c>
      <c r="C76" t="str">
        <f>IF('INPUT DATA'!Q21="","",'INPUT DATA'!Q21)</f>
        <v/>
      </c>
      <c r="F76" t="str">
        <f>IF('INPUT DATA'!R21="","",'INPUT DATA'!R21)</f>
        <v/>
      </c>
      <c r="H76" s="2" t="str">
        <f>IF('INPUT DATA'!S21="","",'INPUT DATA'!S21)</f>
        <v/>
      </c>
      <c r="I76" s="3" t="str">
        <f>IF(H76="","",DATEDIF(H76,DATE(2026,6,8),"Y"))</f>
        <v/>
      </c>
      <c r="J76" s="3" t="str">
        <f>IF(H76="","",DATEDIF(H76,DATE(2026,6,8),"YM"))</f>
        <v/>
      </c>
      <c r="K76" s="3" t="str">
        <f>IF(H76="","",DATEDIF(H76,DATE(2027,4,8),"Y"))</f>
        <v/>
      </c>
      <c r="L76" s="3" t="str">
        <f>IF(H76="","",DATEDIF(H76,DATE(2027,4,8),"YM"))</f>
        <v/>
      </c>
      <c r="M76" t="str">
        <v>F</v>
      </c>
    </row>
    <row r="77" ht="15.75" customHeight="1">
      <c r="B77">
        <v>12</v>
      </c>
      <c r="C77" t="str">
        <f>IF('INPUT DATA'!Q22="","",'INPUT DATA'!Q22)</f>
        <v/>
      </c>
      <c r="F77" t="str">
        <f>IF('INPUT DATA'!R22="","",'INPUT DATA'!R22)</f>
        <v/>
      </c>
      <c r="H77" s="2" t="str">
        <f>IF('INPUT DATA'!S22="","",'INPUT DATA'!S22)</f>
        <v/>
      </c>
      <c r="I77" s="3" t="str">
        <f>IF(H77="","",DATEDIF(H77,DATE(2026,6,8),"Y"))</f>
        <v/>
      </c>
      <c r="J77" s="3" t="str">
        <f>IF(H77="","",DATEDIF(H77,DATE(2026,6,8),"YM"))</f>
        <v/>
      </c>
      <c r="K77" s="3" t="str">
        <f>IF(H77="","",DATEDIF(H77,DATE(2027,4,8),"Y"))</f>
        <v/>
      </c>
      <c r="L77" s="3" t="str">
        <f>IF(H77="","",DATEDIF(H77,DATE(2027,4,8),"YM"))</f>
        <v/>
      </c>
      <c r="M77" t="str">
        <v>F</v>
      </c>
    </row>
    <row r="78" ht="15.75" customHeight="1">
      <c r="B78">
        <v>13</v>
      </c>
      <c r="C78" t="str">
        <f>IF('INPUT DATA'!Q23="","",'INPUT DATA'!Q23)</f>
        <v/>
      </c>
      <c r="F78" t="str">
        <f>IF('INPUT DATA'!R23="","",'INPUT DATA'!R23)</f>
        <v/>
      </c>
      <c r="H78" s="2" t="str">
        <f>IF('INPUT DATA'!S23="","",'INPUT DATA'!S23)</f>
        <v/>
      </c>
      <c r="I78" s="3" t="str">
        <f>IF(H78="","",DATEDIF(H78,DATE(2026,6,8),"Y"))</f>
        <v/>
      </c>
      <c r="J78" s="3" t="str">
        <f>IF(H78="","",DATEDIF(H78,DATE(2026,6,8),"YM"))</f>
        <v/>
      </c>
      <c r="K78" s="3" t="str">
        <f>IF(H78="","",DATEDIF(H78,DATE(2027,4,8),"Y"))</f>
        <v/>
      </c>
      <c r="L78" s="3" t="str">
        <f>IF(H78="","",DATEDIF(H78,DATE(2027,4,8),"YM"))</f>
        <v/>
      </c>
      <c r="M78" t="str">
        <v>F</v>
      </c>
    </row>
    <row r="79" ht="15.75" customHeight="1">
      <c r="B79">
        <v>14</v>
      </c>
      <c r="C79" t="str">
        <f>IF('INPUT DATA'!Q24="","",'INPUT DATA'!Q24)</f>
        <v/>
      </c>
      <c r="F79" t="str">
        <f>IF('INPUT DATA'!R24="","",'INPUT DATA'!R24)</f>
        <v/>
      </c>
      <c r="H79" s="2" t="str">
        <f>IF('INPUT DATA'!S24="","",'INPUT DATA'!S24)</f>
        <v/>
      </c>
      <c r="I79" s="3" t="str">
        <f>IF(H79="","",DATEDIF(H79,DATE(2026,6,8),"Y"))</f>
        <v/>
      </c>
      <c r="J79" s="3" t="str">
        <f>IF(H79="","",DATEDIF(H79,DATE(2026,6,8),"YM"))</f>
        <v/>
      </c>
      <c r="K79" s="3" t="str">
        <f>IF(H79="","",DATEDIF(H79,DATE(2027,4,8),"Y"))</f>
        <v/>
      </c>
      <c r="L79" s="3" t="str">
        <f>IF(H79="","",DATEDIF(H79,DATE(2027,4,8),"YM"))</f>
        <v/>
      </c>
      <c r="M79" t="str">
        <v>F</v>
      </c>
    </row>
    <row r="80" ht="15.75" customHeight="1">
      <c r="B80">
        <v>15</v>
      </c>
      <c r="C80" t="str">
        <f>IF('INPUT DATA'!Q25="","",'INPUT DATA'!Q25)</f>
        <v/>
      </c>
      <c r="F80" t="str">
        <f>IF('INPUT DATA'!R25="","",'INPUT DATA'!R25)</f>
        <v/>
      </c>
      <c r="H80" s="2" t="str">
        <f>IF('INPUT DATA'!S25="","",'INPUT DATA'!S25)</f>
        <v/>
      </c>
      <c r="I80" s="3" t="str">
        <f>IF(H80="","",DATEDIF(H80,DATE(2026,6,8),"Y"))</f>
        <v/>
      </c>
      <c r="J80" s="3" t="str">
        <f>IF(H80="","",DATEDIF(H80,DATE(2026,6,8),"YM"))</f>
        <v/>
      </c>
      <c r="K80" s="3" t="str">
        <f>IF(H80="","",DATEDIF(H80,DATE(2027,4,8),"Y"))</f>
        <v/>
      </c>
      <c r="L80" s="3" t="str">
        <f>IF(H80="","",DATEDIF(H80,DATE(2027,4,8),"YM"))</f>
        <v/>
      </c>
      <c r="M80" t="str">
        <v>F</v>
      </c>
    </row>
    <row r="81" ht="15.75" customHeight="1">
      <c r="B81">
        <v>16</v>
      </c>
      <c r="C81" t="str">
        <f>IF('INPUT DATA'!Q26="","",'INPUT DATA'!Q26)</f>
        <v/>
      </c>
      <c r="F81" t="str">
        <f>IF('INPUT DATA'!R26="","",'INPUT DATA'!R26)</f>
        <v/>
      </c>
      <c r="H81" s="2" t="str">
        <f>IF('INPUT DATA'!S26="","",'INPUT DATA'!S26)</f>
        <v/>
      </c>
      <c r="I81" s="3" t="str">
        <f>IF(H81="","",DATEDIF(H81,DATE(2026,6,8),"Y"))</f>
        <v/>
      </c>
      <c r="J81" s="3" t="str">
        <f>IF(H81="","",DATEDIF(H81,DATE(2026,6,8),"YM"))</f>
        <v/>
      </c>
      <c r="K81" s="3" t="str">
        <f>IF(H81="","",DATEDIF(H81,DATE(2027,4,8),"Y"))</f>
        <v/>
      </c>
      <c r="L81" s="3" t="str">
        <f>IF(H81="","",DATEDIF(H81,DATE(2027,4,8),"YM"))</f>
        <v/>
      </c>
      <c r="M81" t="str">
        <v>F</v>
      </c>
    </row>
    <row r="82" ht="15.75" customHeight="1">
      <c r="B82">
        <v>17</v>
      </c>
      <c r="C82" t="str">
        <f>IF('INPUT DATA'!Q27="","",'INPUT DATA'!Q27)</f>
        <v/>
      </c>
      <c r="F82" t="str">
        <f>IF('INPUT DATA'!R27="","",'INPUT DATA'!R27)</f>
        <v/>
      </c>
      <c r="H82" s="2" t="str">
        <f>IF('INPUT DATA'!S27="","",'INPUT DATA'!S27)</f>
        <v/>
      </c>
      <c r="I82" s="3" t="str">
        <f>IF(H82="","",DATEDIF(H82,DATE(2026,6,8),"Y"))</f>
        <v/>
      </c>
      <c r="J82" s="3" t="str">
        <f>IF(H82="","",DATEDIF(H82,DATE(2026,6,8),"YM"))</f>
        <v/>
      </c>
      <c r="K82" s="3" t="str">
        <f>IF(H82="","",DATEDIF(H82,DATE(2027,4,8),"Y"))</f>
        <v/>
      </c>
      <c r="L82" s="3" t="str">
        <f>IF(H82="","",DATEDIF(H82,DATE(2027,4,8),"YM"))</f>
        <v/>
      </c>
      <c r="M82" t="str">
        <v>F</v>
      </c>
    </row>
    <row r="83" ht="15.75" customHeight="1">
      <c r="B83">
        <v>18</v>
      </c>
      <c r="C83" t="str">
        <f>IF('INPUT DATA'!Q28="","",'INPUT DATA'!Q28)</f>
        <v/>
      </c>
      <c r="F83" t="str">
        <f>IF('INPUT DATA'!R28="","",'INPUT DATA'!R28)</f>
        <v/>
      </c>
      <c r="H83" s="2" t="str">
        <f>IF('INPUT DATA'!S28="","",'INPUT DATA'!S28)</f>
        <v/>
      </c>
      <c r="I83" s="3" t="str">
        <f>IF(H83="","",DATEDIF(H83,DATE(2026,6,8),"Y"))</f>
        <v/>
      </c>
      <c r="J83" s="3" t="str">
        <f>IF(H83="","",DATEDIF(H83,DATE(2026,6,8),"YM"))</f>
        <v/>
      </c>
      <c r="K83" s="3" t="str">
        <f>IF(H83="","",DATEDIF(H83,DATE(2027,4,8),"Y"))</f>
        <v/>
      </c>
      <c r="L83" s="3" t="str">
        <f>IF(H83="","",DATEDIF(H83,DATE(2027,4,8),"YM"))</f>
        <v/>
      </c>
      <c r="M83" t="str">
        <v>F</v>
      </c>
    </row>
    <row r="84" ht="15.75" customHeight="1">
      <c r="B84">
        <v>19</v>
      </c>
      <c r="C84" t="str">
        <f>IF('INPUT DATA'!Q29="","",'INPUT DATA'!Q29)</f>
        <v/>
      </c>
      <c r="F84" t="str">
        <f>IF('INPUT DATA'!R29="","",'INPUT DATA'!R29)</f>
        <v/>
      </c>
      <c r="H84" s="2" t="str">
        <f>IF('INPUT DATA'!S29="","",'INPUT DATA'!S29)</f>
        <v/>
      </c>
      <c r="I84" s="3" t="str">
        <f>IF(H84="","",DATEDIF(H84,DATE(2026,6,8),"Y"))</f>
        <v/>
      </c>
      <c r="J84" s="3" t="str">
        <f>IF(H84="","",DATEDIF(H84,DATE(2026,6,8),"YM"))</f>
        <v/>
      </c>
      <c r="K84" s="3" t="str">
        <f>IF(H84="","",DATEDIF(H84,DATE(2027,4,8),"Y"))</f>
        <v/>
      </c>
      <c r="L84" s="3" t="str">
        <f>IF(H84="","",DATEDIF(H84,DATE(2027,4,8),"YM"))</f>
        <v/>
      </c>
      <c r="M84" t="str">
        <v>F</v>
      </c>
    </row>
    <row r="85" ht="15.75" customHeight="1">
      <c r="B85">
        <v>20</v>
      </c>
      <c r="C85" t="str">
        <f>IF('INPUT DATA'!Q30="","",'INPUT DATA'!Q30)</f>
        <v/>
      </c>
      <c r="F85" t="str">
        <f>IF('INPUT DATA'!R30="","",'INPUT DATA'!R30)</f>
        <v/>
      </c>
      <c r="H85" s="2" t="str">
        <f>IF('INPUT DATA'!S30="","",'INPUT DATA'!S30)</f>
        <v/>
      </c>
      <c r="I85" s="3" t="str">
        <f>IF(H85="","",DATEDIF(H85,DATE(2026,6,8),"Y"))</f>
        <v/>
      </c>
      <c r="J85" s="3" t="str">
        <f>IF(H85="","",DATEDIF(H85,DATE(2026,6,8),"YM"))</f>
        <v/>
      </c>
      <c r="K85" s="3" t="str">
        <f>IF(H85="","",DATEDIF(H85,DATE(2027,4,8),"Y"))</f>
        <v/>
      </c>
      <c r="L85" s="3" t="str">
        <f>IF(H85="","",DATEDIF(H85,DATE(2027,4,8),"YM"))</f>
        <v/>
      </c>
      <c r="M85" t="str">
        <v>F</v>
      </c>
    </row>
    <row r="86" ht="15.75" customHeight="1">
      <c r="B86">
        <v>21</v>
      </c>
      <c r="C86" t="str">
        <f>IF('INPUT DATA'!Q31="","",'INPUT DATA'!Q31)</f>
        <v/>
      </c>
      <c r="F86" t="str">
        <f>IF('INPUT DATA'!R31="","",'INPUT DATA'!R31)</f>
        <v/>
      </c>
      <c r="H86" s="2" t="str">
        <f>IF('INPUT DATA'!S31="","",'INPUT DATA'!S31)</f>
        <v/>
      </c>
      <c r="I86" s="3" t="str">
        <f>IF(H86="","",DATEDIF(H86,DATE(2026,6,8),"Y"))</f>
        <v/>
      </c>
      <c r="J86" s="3" t="str">
        <f>IF(H86="","",DATEDIF(H86,DATE(2026,6,8),"YM"))</f>
        <v/>
      </c>
      <c r="K86" s="3" t="str">
        <f>IF(H86="","",DATEDIF(H86,DATE(2027,4,8),"Y"))</f>
        <v/>
      </c>
      <c r="L86" s="3" t="str">
        <f>IF(H86="","",DATEDIF(H86,DATE(2027,4,8),"YM"))</f>
        <v/>
      </c>
      <c r="M86" t="str">
        <v>F</v>
      </c>
    </row>
    <row r="87" ht="15.75" customHeight="1">
      <c r="B87">
        <v>22</v>
      </c>
      <c r="C87" t="str">
        <f>IF('INPUT DATA'!Q32="","",'INPUT DATA'!Q32)</f>
        <v/>
      </c>
      <c r="F87" t="str">
        <f>IF('INPUT DATA'!R32="","",'INPUT DATA'!R32)</f>
        <v/>
      </c>
      <c r="H87" s="2" t="str">
        <f>IF('INPUT DATA'!S32="","",'INPUT DATA'!S32)</f>
        <v/>
      </c>
      <c r="I87" s="3" t="str">
        <f>IF(H87="","",DATEDIF(H87,DATE(2026,6,8),"Y"))</f>
        <v/>
      </c>
      <c r="J87" s="3" t="str">
        <f>IF(H87="","",DATEDIF(H87,DATE(2026,6,8),"YM"))</f>
        <v/>
      </c>
      <c r="K87" s="3" t="str">
        <f>IF(H87="","",DATEDIF(H87,DATE(2027,4,8),"Y"))</f>
        <v/>
      </c>
      <c r="L87" s="3" t="str">
        <f>IF(H87="","",DATEDIF(H87,DATE(2027,4,8),"YM"))</f>
        <v/>
      </c>
      <c r="M87" t="str">
        <v>F</v>
      </c>
    </row>
    <row r="88" ht="15.75" customHeight="1">
      <c r="B88">
        <v>23</v>
      </c>
      <c r="C88" t="str">
        <f>IF('INPUT DATA'!Q33="","",'INPUT DATA'!Q33)</f>
        <v/>
      </c>
      <c r="F88" t="str">
        <f>IF('INPUT DATA'!R33="","",'INPUT DATA'!R33)</f>
        <v/>
      </c>
      <c r="H88" s="2" t="str">
        <f>IF('INPUT DATA'!S33="","",'INPUT DATA'!S33)</f>
        <v/>
      </c>
      <c r="I88" s="3" t="str">
        <f>IF(H88="","",DATEDIF(H88,DATE(2026,6,8),"Y"))</f>
        <v/>
      </c>
      <c r="J88" s="3" t="str">
        <f>IF(H88="","",DATEDIF(H88,DATE(2026,6,8),"YM"))</f>
        <v/>
      </c>
      <c r="K88" s="3" t="str">
        <f>IF(H88="","",DATEDIF(H88,DATE(2027,4,8),"Y"))</f>
        <v/>
      </c>
      <c r="L88" s="3" t="str">
        <f>IF(H88="","",DATEDIF(H88,DATE(2027,4,8),"YM"))</f>
        <v/>
      </c>
      <c r="M88" t="str">
        <v>F</v>
      </c>
    </row>
    <row r="89" ht="15.75" customHeight="1">
      <c r="B89">
        <v>24</v>
      </c>
      <c r="C89" t="str">
        <f>IF('INPUT DATA'!Q34="","",'INPUT DATA'!Q34)</f>
        <v/>
      </c>
      <c r="F89" t="str">
        <f>IF('INPUT DATA'!R34="","",'INPUT DATA'!R34)</f>
        <v/>
      </c>
      <c r="H89" s="2" t="str">
        <f>IF('INPUT DATA'!S34="","",'INPUT DATA'!S34)</f>
        <v/>
      </c>
      <c r="I89" s="3" t="str">
        <f>IF(H89="","",DATEDIF(H89,DATE(2026,6,8),"Y"))</f>
        <v/>
      </c>
      <c r="J89" s="3" t="str">
        <f>IF(H89="","",DATEDIF(H89,DATE(2026,6,8),"YM"))</f>
        <v/>
      </c>
      <c r="K89" s="3" t="str">
        <f>IF(H89="","",DATEDIF(H89,DATE(2027,4,8),"Y"))</f>
        <v/>
      </c>
      <c r="L89" s="3" t="str">
        <f>IF(H89="","",DATEDIF(H89,DATE(2027,4,8),"YM"))</f>
        <v/>
      </c>
      <c r="M89" t="str">
        <v>F</v>
      </c>
    </row>
    <row r="90" ht="15.75" customHeight="1">
      <c r="B90">
        <v>25</v>
      </c>
      <c r="C90" t="str">
        <f>IF('INPUT DATA'!Q35="","",'INPUT DATA'!Q35)</f>
        <v/>
      </c>
      <c r="F90" t="str">
        <f>IF('INPUT DATA'!R35="","",'INPUT DATA'!R35)</f>
        <v/>
      </c>
      <c r="H90" s="2" t="str">
        <f>IF('INPUT DATA'!S35="","",'INPUT DATA'!S35)</f>
        <v/>
      </c>
      <c r="I90" s="3" t="str">
        <f>IF(H90="","",DATEDIF(H90,DATE(2026,6,8),"Y"))</f>
        <v/>
      </c>
      <c r="J90" s="3" t="str">
        <f>IF(H90="","",DATEDIF(H90,DATE(2026,6,8),"YM"))</f>
        <v/>
      </c>
      <c r="K90" s="3" t="str">
        <f>IF(H90="","",DATEDIF(H90,DATE(2027,4,8),"Y"))</f>
        <v/>
      </c>
      <c r="L90" s="3" t="str">
        <f>IF(H90="","",DATEDIF(H90,DATE(2027,4,8),"YM"))</f>
        <v/>
      </c>
      <c r="M90" t="str">
        <v>F</v>
      </c>
    </row>
    <row r="91" ht="15.75" customHeight="1">
      <c r="B91">
        <v>26</v>
      </c>
      <c r="C91" t="str">
        <f>IF('INPUT DATA'!Q36="","",'INPUT DATA'!Q36)</f>
        <v/>
      </c>
      <c r="F91" t="str">
        <f>IF('INPUT DATA'!R36="","",'INPUT DATA'!R36)</f>
        <v/>
      </c>
      <c r="H91" s="2" t="str">
        <f>IF('INPUT DATA'!S36="","",'INPUT DATA'!S36)</f>
        <v/>
      </c>
      <c r="I91" s="3" t="str">
        <f>IF(H91="","",DATEDIF(H91,DATE(2026,6,8),"Y"))</f>
        <v/>
      </c>
      <c r="J91" s="3" t="str">
        <f>IF(H91="","",DATEDIF(H91,DATE(2026,6,8),"YM"))</f>
        <v/>
      </c>
      <c r="K91" s="3" t="str">
        <f>IF(H91="","",DATEDIF(H91,DATE(2027,4,8),"Y"))</f>
        <v/>
      </c>
      <c r="L91" s="3" t="str">
        <f>IF(H91="","",DATEDIF(H91,DATE(2027,4,8),"YM"))</f>
        <v/>
      </c>
      <c r="M91" t="str">
        <v>F</v>
      </c>
    </row>
    <row r="92" ht="15.75" customHeight="1">
      <c r="B92">
        <v>27</v>
      </c>
      <c r="C92" t="str">
        <f>IF('INPUT DATA'!Q37="","",'INPUT DATA'!Q37)</f>
        <v/>
      </c>
      <c r="F92" t="str">
        <f>IF('INPUT DATA'!R37="","",'INPUT DATA'!R37)</f>
        <v/>
      </c>
      <c r="H92" s="2" t="str">
        <f>IF('INPUT DATA'!S37="","",'INPUT DATA'!S37)</f>
        <v/>
      </c>
      <c r="I92" s="3" t="str">
        <f>IF(H92="","",DATEDIF(H92,DATE(2026,6,8),"Y"))</f>
        <v/>
      </c>
      <c r="J92" s="3" t="str">
        <f>IF(H92="","",DATEDIF(H92,DATE(2026,6,8),"YM"))</f>
        <v/>
      </c>
      <c r="K92" s="3" t="str">
        <f>IF(H92="","",DATEDIF(H92,DATE(2027,4,8),"Y"))</f>
        <v/>
      </c>
      <c r="L92" s="3" t="str">
        <f>IF(H92="","",DATEDIF(H92,DATE(2027,4,8),"YM"))</f>
        <v/>
      </c>
      <c r="M92" t="str">
        <v>F</v>
      </c>
    </row>
    <row r="93" ht="15.75" customHeight="1">
      <c r="B93">
        <v>28</v>
      </c>
      <c r="C93" t="str">
        <f>IF('INPUT DATA'!Q38="","",'INPUT DATA'!Q38)</f>
        <v/>
      </c>
      <c r="F93" t="str">
        <f>IF('INPUT DATA'!R38="","",'INPUT DATA'!R38)</f>
        <v/>
      </c>
      <c r="H93" s="2" t="str">
        <f>IF('INPUT DATA'!S38="","",'INPUT DATA'!S38)</f>
        <v/>
      </c>
      <c r="I93" s="3" t="str">
        <f>IF(H93="","",DATEDIF(H93,DATE(2026,6,8),"Y"))</f>
        <v/>
      </c>
      <c r="J93" s="3" t="str">
        <f>IF(H93="","",DATEDIF(H93,DATE(2026,6,8),"YM"))</f>
        <v/>
      </c>
      <c r="K93" s="3" t="str">
        <f>IF(H93="","",DATEDIF(H93,DATE(2027,4,8),"Y"))</f>
        <v/>
      </c>
      <c r="L93" s="3" t="str">
        <f>IF(H93="","",DATEDIF(H93,DATE(2027,4,8),"YM"))</f>
        <v/>
      </c>
      <c r="M93" t="str">
        <v>F</v>
      </c>
    </row>
    <row r="94" ht="15.75" customHeight="1">
      <c r="B94">
        <v>29</v>
      </c>
      <c r="C94" t="str">
        <f>IF('INPUT DATA'!Q39="","",'INPUT DATA'!Q39)</f>
        <v/>
      </c>
      <c r="F94" t="str">
        <f>IF('INPUT DATA'!R39="","",'INPUT DATA'!R39)</f>
        <v/>
      </c>
      <c r="H94" s="2" t="str">
        <f>IF('INPUT DATA'!S39="","",'INPUT DATA'!S39)</f>
        <v/>
      </c>
      <c r="I94" s="3" t="str">
        <f>IF(H94="","",DATEDIF(H94,DATE(2026,6,8),"Y"))</f>
        <v/>
      </c>
      <c r="J94" s="3" t="str">
        <f>IF(H94="","",DATEDIF(H94,DATE(2026,6,8),"YM"))</f>
        <v/>
      </c>
      <c r="K94" s="3" t="str">
        <f>IF(H94="","",DATEDIF(H94,DATE(2027,4,8),"Y"))</f>
        <v/>
      </c>
      <c r="L94" s="3" t="str">
        <f>IF(H94="","",DATEDIF(H94,DATE(2027,4,8),"YM"))</f>
        <v/>
      </c>
      <c r="M94" t="str">
        <v>F</v>
      </c>
    </row>
    <row r="95" ht="15.75" customHeight="1">
      <c r="B95">
        <v>31</v>
      </c>
      <c r="C95" t="str">
        <f>IF('INPUT DATA'!Q40="","",'INPUT DATA'!Q40)</f>
        <v/>
      </c>
      <c r="F95" t="str">
        <f>IF('INPUT DATA'!R40="","",'INPUT DATA'!R40)</f>
        <v/>
      </c>
      <c r="H95" s="2" t="str">
        <f>IF('INPUT DATA'!S40="","",'INPUT DATA'!S40)</f>
        <v/>
      </c>
      <c r="I95" s="3" t="str">
        <f>IF(H95="","",DATEDIF(H95,DATE(2026,6,8),"Y"))</f>
        <v/>
      </c>
      <c r="J95" s="3" t="str">
        <f>IF(H95="","",DATEDIF(H95,DATE(2026,6,8),"YM"))</f>
        <v/>
      </c>
      <c r="K95" s="3" t="str">
        <f>IF(H95="","",DATEDIF(H95,DATE(2027,4,8),"Y"))</f>
        <v/>
      </c>
      <c r="L95" s="3" t="str">
        <f>IF(H95="","",DATEDIF(H95,DATE(2027,4,8),"YM"))</f>
        <v/>
      </c>
      <c r="M95" t="str">
        <v>F</v>
      </c>
    </row>
    <row r="96" ht="15.75" customHeight="1">
      <c r="B96">
        <v>32</v>
      </c>
      <c r="C96" t="str">
        <f>IF('INPUT DATA'!Q41="","",'INPUT DATA'!Q41)</f>
        <v/>
      </c>
      <c r="F96" t="str">
        <f>IF('INPUT DATA'!R41="","",'INPUT DATA'!R41)</f>
        <v/>
      </c>
      <c r="H96" s="2" t="str">
        <f>IF('INPUT DATA'!S41="","",'INPUT DATA'!S41)</f>
        <v/>
      </c>
      <c r="I96" s="3" t="str">
        <f>IF(H96="","",DATEDIF(H96,DATE(2026,6,8),"Y"))</f>
        <v/>
      </c>
      <c r="J96" s="3" t="str">
        <f>IF(H96="","",DATEDIF(H96,DATE(2026,6,8),"YM"))</f>
        <v/>
      </c>
      <c r="K96" s="3" t="str">
        <f>IF(H96="","",DATEDIF(H96,DATE(2027,4,8),"Y"))</f>
        <v/>
      </c>
      <c r="L96" s="3" t="str">
        <f>IF(H96="","",DATEDIF(H96,DATE(2027,4,8),"YM"))</f>
        <v/>
      </c>
      <c r="M96" t="str">
        <v>F</v>
      </c>
    </row>
    <row r="97" ht="15.75" customHeight="1">
      <c r="B97">
        <v>33</v>
      </c>
      <c r="C97" t="str">
        <f>IF('INPUT DATA'!Q42="","",'INPUT DATA'!Q42)</f>
        <v/>
      </c>
      <c r="F97" t="str">
        <f>IF('INPUT DATA'!R42="","",'INPUT DATA'!R42)</f>
        <v/>
      </c>
      <c r="H97" s="2" t="str">
        <f>IF('INPUT DATA'!S42="","",'INPUT DATA'!S42)</f>
        <v/>
      </c>
      <c r="I97" s="3" t="str">
        <f>IF(H97="","",DATEDIF(H97,DATE(2026,6,8),"Y"))</f>
        <v/>
      </c>
      <c r="J97" s="3" t="str">
        <f>IF(H97="","",DATEDIF(H97,DATE(2026,6,8),"YM"))</f>
        <v/>
      </c>
      <c r="K97" s="3" t="str">
        <f>IF(H97="","",DATEDIF(H97,DATE(2027,4,8),"Y"))</f>
        <v/>
      </c>
      <c r="L97" s="3" t="str">
        <f>IF(H97="","",DATEDIF(H97,DATE(2027,4,8),"YM"))</f>
        <v/>
      </c>
      <c r="M97" t="str">
        <v>F</v>
      </c>
    </row>
    <row r="98" ht="15.75" customHeight="1">
      <c r="B98">
        <v>34</v>
      </c>
      <c r="C98" t="str">
        <f>IF('INPUT DATA'!Q43="","",'INPUT DATA'!Q43)</f>
        <v/>
      </c>
      <c r="F98" t="str">
        <f>IF('INPUT DATA'!R43="","",'INPUT DATA'!R43)</f>
        <v/>
      </c>
      <c r="H98" s="2" t="str">
        <f>IF('INPUT DATA'!S43="","",'INPUT DATA'!S43)</f>
        <v/>
      </c>
      <c r="I98" s="3" t="str">
        <f>IF(H98="","",DATEDIF(H98,DATE(2026,6,8),"Y"))</f>
        <v/>
      </c>
      <c r="J98" s="3" t="str">
        <f>IF(H98="","",DATEDIF(H98,DATE(2026,6,8),"YM"))</f>
        <v/>
      </c>
      <c r="K98" s="3" t="str">
        <f>IF(H98="","",DATEDIF(H98,DATE(2027,4,8),"Y"))</f>
        <v/>
      </c>
      <c r="L98" s="3" t="str">
        <f>IF(H98="","",DATEDIF(H98,DATE(2027,4,8),"YM"))</f>
        <v/>
      </c>
      <c r="M98" t="str">
        <v>F</v>
      </c>
    </row>
    <row r="99" ht="15.75" customHeight="1">
      <c r="B99">
        <v>35</v>
      </c>
      <c r="C99" t="str">
        <f>IF('INPUT DATA'!Q44="","",'INPUT DATA'!Q44)</f>
        <v/>
      </c>
      <c r="F99" t="str">
        <f>IF('INPUT DATA'!R44="","",'INPUT DATA'!R44)</f>
        <v/>
      </c>
      <c r="H99" s="2" t="str">
        <f>IF('INPUT DATA'!S44="","",'INPUT DATA'!S44)</f>
        <v/>
      </c>
      <c r="I99" s="3" t="str">
        <f>IF(H99="","",DATEDIF(H99,DATE(2026,6,8),"Y"))</f>
        <v/>
      </c>
      <c r="J99" s="3" t="str">
        <f>IF(H99="","",DATEDIF(H99,DATE(2026,6,8),"YM"))</f>
        <v/>
      </c>
      <c r="K99" s="3" t="str">
        <f>IF(H99="","",DATEDIF(H99,DATE(2027,4,8),"Y"))</f>
        <v/>
      </c>
      <c r="L99" s="3" t="str">
        <f>IF(H99="","",DATEDIF(H99,DATE(2027,4,8),"YM"))</f>
        <v/>
      </c>
      <c r="M99" t="str">
        <v>F</v>
      </c>
    </row>
    <row r="100" ht="15.75" customHeight="1">
      <c r="B100">
        <v>36</v>
      </c>
      <c r="C100" t="str">
        <f>IF('INPUT DATA'!Q45="","",'INPUT DATA'!Q45)</f>
        <v/>
      </c>
      <c r="F100" t="str">
        <f>IF('INPUT DATA'!R45="","",'INPUT DATA'!R45)</f>
        <v/>
      </c>
      <c r="H100" s="2" t="str">
        <f>IF('INPUT DATA'!S45="","",'INPUT DATA'!S45)</f>
        <v/>
      </c>
      <c r="I100" s="3" t="str">
        <f>IF(H100="","",DATEDIF(H100,DATE(2026,6,8),"Y"))</f>
        <v/>
      </c>
      <c r="J100" s="3" t="str">
        <f>IF(H100="","",DATEDIF(H100,DATE(2026,6,8),"YM"))</f>
        <v/>
      </c>
      <c r="K100" s="3" t="str">
        <f>IF(H100="","",DATEDIF(H100,DATE(2027,4,8),"Y"))</f>
        <v/>
      </c>
      <c r="L100" s="3" t="str">
        <f>IF(H100="","",DATEDIF(H100,DATE(2027,4,8),"YM"))</f>
        <v/>
      </c>
      <c r="M100" t="str">
        <v>F</v>
      </c>
    </row>
    <row r="101" ht="15.75" customHeight="1">
      <c r="B101">
        <v>37</v>
      </c>
      <c r="C101" t="str">
        <f>IF('INPUT DATA'!Q46="","",'INPUT DATA'!Q46)</f>
        <v/>
      </c>
      <c r="F101" t="str">
        <f>IF('INPUT DATA'!R46="","",'INPUT DATA'!R46)</f>
        <v/>
      </c>
      <c r="H101" s="2" t="str">
        <f>IF('INPUT DATA'!S46="","",'INPUT DATA'!S46)</f>
        <v/>
      </c>
      <c r="I101" s="3" t="str">
        <f>IF(H101="","",DATEDIF(H101,DATE(2026,6,8),"Y"))</f>
        <v/>
      </c>
      <c r="J101" s="3" t="str">
        <f>IF(H101="","",DATEDIF(H101,DATE(2026,6,8),"YM"))</f>
        <v/>
      </c>
      <c r="K101" s="3" t="str">
        <f>IF(H101="","",DATEDIF(H101,DATE(2027,4,8),"Y"))</f>
        <v/>
      </c>
      <c r="L101" s="3" t="str">
        <f>IF(H101="","",DATEDIF(H101,DATE(2027,4,8),"YM"))</f>
        <v/>
      </c>
      <c r="M101" t="str">
        <v>F</v>
      </c>
    </row>
    <row r="102" ht="15.75" customHeight="1">
      <c r="B102">
        <v>38</v>
      </c>
      <c r="C102" t="str">
        <f>IF('INPUT DATA'!Q47="","",'INPUT DATA'!Q47)</f>
        <v/>
      </c>
      <c r="F102" t="str">
        <f>IF('INPUT DATA'!R47="","",'INPUT DATA'!R47)</f>
        <v/>
      </c>
      <c r="H102" s="2" t="str">
        <f>IF('INPUT DATA'!S47="","",'INPUT DATA'!S47)</f>
        <v/>
      </c>
      <c r="I102" s="3" t="str">
        <f>IF(H102="","",DATEDIF(H102,DATE(2026,6,8),"Y"))</f>
        <v/>
      </c>
      <c r="J102" s="3" t="str">
        <f>IF(H102="","",DATEDIF(H102,DATE(2026,6,8),"YM"))</f>
        <v/>
      </c>
      <c r="K102" s="3" t="str">
        <f>IF(H102="","",DATEDIF(H102,DATE(2027,4,8),"Y"))</f>
        <v/>
      </c>
      <c r="L102" s="3" t="str">
        <f>IF(H102="","",DATEDIF(H102,DATE(2027,4,8),"YM"))</f>
        <v/>
      </c>
      <c r="M102" t="str">
        <v>F</v>
      </c>
    </row>
    <row r="103" ht="15.75" customHeight="1">
      <c r="B103">
        <v>39</v>
      </c>
      <c r="C103" t="str">
        <f>IF('INPUT DATA'!Q48="","",'INPUT DATA'!Q48)</f>
        <v/>
      </c>
      <c r="F103" t="str">
        <f>IF('INPUT DATA'!R48="","",'INPUT DATA'!R48)</f>
        <v/>
      </c>
      <c r="H103" s="2" t="str">
        <f>IF('INPUT DATA'!S48="","",'INPUT DATA'!S48)</f>
        <v/>
      </c>
      <c r="I103" s="3" t="str">
        <f>IF(H103="","",DATEDIF(H103,DATE(2026,6,8),"Y"))</f>
        <v/>
      </c>
      <c r="J103" s="3" t="str">
        <f>IF(H103="","",DATEDIF(H103,DATE(2026,6,8),"YM"))</f>
        <v/>
      </c>
      <c r="K103" s="3" t="str">
        <f>IF(H103="","",DATEDIF(H103,DATE(2027,4,8),"Y"))</f>
        <v/>
      </c>
      <c r="L103" s="3" t="str">
        <f>IF(H103="","",DATEDIF(H103,DATE(2027,4,8),"YM"))</f>
        <v/>
      </c>
      <c r="M103" t="str">
        <v>F</v>
      </c>
    </row>
    <row r="104" ht="15.75" customHeight="1">
      <c r="B104">
        <v>40</v>
      </c>
      <c r="C104" t="str">
        <f>IF('INPUT DATA'!Q49="","",'INPUT DATA'!Q49)</f>
        <v/>
      </c>
      <c r="F104" t="str">
        <f>IF('INPUT DATA'!R49="","",'INPUT DATA'!R49)</f>
        <v/>
      </c>
      <c r="H104" s="2" t="str">
        <f>IF('INPUT DATA'!S49="","",'INPUT DATA'!S49)</f>
        <v/>
      </c>
      <c r="I104" s="3" t="str">
        <f>IF(H104="","",DATEDIF(H104,DATE(2026,6,8),"Y"))</f>
        <v/>
      </c>
      <c r="J104" s="3" t="str">
        <f>IF(H104="","",DATEDIF(H104,DATE(2026,6,8),"YM"))</f>
        <v/>
      </c>
      <c r="K104" s="3" t="str">
        <f>IF(H104="","",DATEDIF(H104,DATE(2027,4,8),"Y"))</f>
        <v/>
      </c>
      <c r="L104" s="3" t="str">
        <f>IF(H104="","",DATEDIF(H104,DATE(2027,4,8),"YM"))</f>
        <v/>
      </c>
      <c r="M104" t="str">
        <v>F</v>
      </c>
    </row>
    <row r="105" ht="15.75" customHeight="1">
      <c r="B105">
        <v>41</v>
      </c>
      <c r="C105" t="str">
        <f>IF('INPUT DATA'!Q50="","",'INPUT DATA'!Q50)</f>
        <v/>
      </c>
      <c r="F105" t="str">
        <f>IF('INPUT DATA'!R50="","",'INPUT DATA'!R50)</f>
        <v/>
      </c>
      <c r="H105" s="2" t="str">
        <f>IF('INPUT DATA'!S50="","",'INPUT DATA'!S50)</f>
        <v/>
      </c>
      <c r="I105" s="3" t="str">
        <f>IF(H105="","",DATEDIF(H105,DATE(2026,6,8),"Y"))</f>
        <v/>
      </c>
      <c r="J105" s="3" t="str">
        <f>IF(H105="","",DATEDIF(H105,DATE(2026,6,8),"YM"))</f>
        <v/>
      </c>
      <c r="K105" s="3" t="str">
        <f>IF(H105="","",DATEDIF(H105,DATE(2027,4,8),"Y"))</f>
        <v/>
      </c>
      <c r="L105" s="3" t="str">
        <f>IF(H105="","",DATEDIF(H105,DATE(2027,4,8),"YM"))</f>
        <v/>
      </c>
      <c r="M105" t="str">
        <v>F</v>
      </c>
    </row>
    <row r="106" ht="15.75" customHeight="1">
      <c r="B106">
        <v>42</v>
      </c>
      <c r="C106" t="str">
        <f>IF('INPUT DATA'!Q51="","",'INPUT DATA'!Q51)</f>
        <v/>
      </c>
      <c r="F106" t="str">
        <f>IF('INPUT DATA'!R51="","",'INPUT DATA'!R51)</f>
        <v/>
      </c>
      <c r="H106" s="2" t="str">
        <f>IF('INPUT DATA'!S51="","",'INPUT DATA'!S51)</f>
        <v/>
      </c>
      <c r="I106" s="3" t="str">
        <f>IF(H106="","",DATEDIF(H106,DATE(2026,6,8),"Y"))</f>
        <v/>
      </c>
      <c r="J106" s="3" t="str">
        <f>IF(H106="","",DATEDIF(H106,DATE(2026,6,8),"YM"))</f>
        <v/>
      </c>
      <c r="K106" s="3" t="str">
        <f>IF(H106="","",DATEDIF(H106,DATE(2027,4,8),"Y"))</f>
        <v/>
      </c>
      <c r="L106" s="3" t="str">
        <f>IF(H106="","",DATEDIF(H106,DATE(2027,4,8),"YM"))</f>
        <v/>
      </c>
      <c r="M106" t="str">
        <v>F</v>
      </c>
    </row>
    <row r="107" ht="15.75" customHeight="1">
      <c r="B107">
        <v>43</v>
      </c>
      <c r="C107" t="str">
        <f>IF('INPUT DATA'!Q52="","",'INPUT DATA'!Q52)</f>
        <v/>
      </c>
      <c r="F107" t="str">
        <f>IF('INPUT DATA'!R52="","",'INPUT DATA'!R52)</f>
        <v/>
      </c>
      <c r="H107" s="2" t="str">
        <f>IF('INPUT DATA'!S52="","",'INPUT DATA'!S52)</f>
        <v/>
      </c>
      <c r="I107" s="3" t="str">
        <f>IF(H107="","",DATEDIF(H107,DATE(2026,6,8),"Y"))</f>
        <v/>
      </c>
      <c r="J107" s="3" t="str">
        <f>IF(H107="","",DATEDIF(H107,DATE(2026,6,8),"YM"))</f>
        <v/>
      </c>
      <c r="K107" s="3" t="str">
        <f>IF(H107="","",DATEDIF(H107,DATE(2027,4,8),"Y"))</f>
        <v/>
      </c>
      <c r="L107" s="3" t="str">
        <f>IF(H107="","",DATEDIF(H107,DATE(2027,4,8),"YM"))</f>
        <v/>
      </c>
      <c r="M107" t="str">
        <v>F</v>
      </c>
    </row>
    <row r="108" ht="15.75" customHeight="1">
      <c r="B108">
        <v>44</v>
      </c>
      <c r="C108" t="str">
        <f>IF('INPUT DATA'!Q53="","",'INPUT DATA'!Q53)</f>
        <v/>
      </c>
      <c r="F108" t="str">
        <f>IF('INPUT DATA'!R53="","",'INPUT DATA'!R53)</f>
        <v/>
      </c>
      <c r="H108" s="2" t="str">
        <f>IF('INPUT DATA'!S53="","",'INPUT DATA'!S53)</f>
        <v/>
      </c>
      <c r="I108" s="3" t="str">
        <f>IF(H108="","",DATEDIF(H108,DATE(2026,6,8),"Y"))</f>
        <v/>
      </c>
      <c r="J108" s="3" t="str">
        <f>IF(H108="","",DATEDIF(H108,DATE(2026,6,8),"YM"))</f>
        <v/>
      </c>
      <c r="K108" s="3" t="str">
        <f>IF(H108="","",DATEDIF(H108,DATE(2027,4,8),"Y"))</f>
        <v/>
      </c>
      <c r="L108" s="3" t="str">
        <f>IF(H108="","",DATEDIF(H108,DATE(2027,4,8),"YM"))</f>
        <v/>
      </c>
      <c r="M108" t="str">
        <v>F</v>
      </c>
    </row>
    <row r="109" ht="15.75" customHeight="1">
      <c r="B109">
        <v>45</v>
      </c>
      <c r="C109" t="str">
        <f>IF('INPUT DATA'!Q54="","",'INPUT DATA'!Q54)</f>
        <v/>
      </c>
      <c r="F109" t="str">
        <f>IF('INPUT DATA'!R54="","",'INPUT DATA'!R54)</f>
        <v/>
      </c>
      <c r="H109" s="2" t="str">
        <f>IF('INPUT DATA'!S54="","",'INPUT DATA'!S54)</f>
        <v/>
      </c>
      <c r="I109" s="3" t="str">
        <f>IF(H109="","",DATEDIF(H109,DATE(2026,6,8),"Y"))</f>
        <v/>
      </c>
      <c r="J109" s="3" t="str">
        <f>IF(H109="","",DATEDIF(H109,DATE(2026,6,8),"YM"))</f>
        <v/>
      </c>
      <c r="K109" s="3" t="str">
        <f>IF(H109="","",DATEDIF(H109,DATE(2027,4,8),"Y"))</f>
        <v/>
      </c>
      <c r="L109" s="3" t="str">
        <f>IF(H109="","",DATEDIF(H109,DATE(2027,4,8),"YM"))</f>
        <v/>
      </c>
      <c r="M109" t="str">
        <v>F</v>
      </c>
    </row>
    <row r="110" ht="15.75" customHeight="1">
      <c r="B110">
        <v>46</v>
      </c>
      <c r="C110" t="str">
        <f>IF('INPUT DATA'!Q55="","",'INPUT DATA'!Q55)</f>
        <v/>
      </c>
      <c r="F110" t="str">
        <f>IF('INPUT DATA'!R55="","",'INPUT DATA'!R55)</f>
        <v/>
      </c>
      <c r="H110" s="2" t="str">
        <f>IF('INPUT DATA'!S55="","",'INPUT DATA'!S55)</f>
        <v/>
      </c>
      <c r="I110" s="3" t="str">
        <f>IF(H110="","",DATEDIF(H110,DATE(2026,6,8),"Y"))</f>
        <v/>
      </c>
      <c r="J110" s="3" t="str">
        <f>IF(H110="","",DATEDIF(H110,DATE(2026,6,8),"YM"))</f>
        <v/>
      </c>
      <c r="K110" s="3" t="str">
        <f>IF(H110="","",DATEDIF(H110,DATE(2027,4,8),"Y"))</f>
        <v/>
      </c>
      <c r="L110" s="3" t="str">
        <f>IF(H110="","",DATEDIF(H110,DATE(2027,4,8),"YM"))</f>
        <v/>
      </c>
      <c r="M110" t="str">
        <v>F</v>
      </c>
    </row>
    <row r="111" ht="15.75" customHeight="1">
      <c r="B111">
        <v>47</v>
      </c>
      <c r="C111" t="str">
        <f>IF('INPUT DATA'!Q56="","",'INPUT DATA'!Q56)</f>
        <v/>
      </c>
      <c r="F111" t="str">
        <f>IF('INPUT DATA'!R56="","",'INPUT DATA'!R56)</f>
        <v/>
      </c>
      <c r="H111" s="2" t="str">
        <f>IF('INPUT DATA'!S56="","",'INPUT DATA'!S56)</f>
        <v/>
      </c>
      <c r="I111" s="3" t="str">
        <f>IF(H111="","",DATEDIF(H111,DATE(2026,6,8),"Y"))</f>
        <v/>
      </c>
      <c r="J111" s="3" t="str">
        <f>IF(H111="","",DATEDIF(H111,DATE(2026,6,8),"YM"))</f>
        <v/>
      </c>
      <c r="K111" s="3" t="str">
        <f>IF(H111="","",DATEDIF(H111,DATE(2027,4,8),"Y"))</f>
        <v/>
      </c>
      <c r="L111" s="3" t="str">
        <f>IF(H111="","",DATEDIF(H111,DATE(2027,4,8),"YM"))</f>
        <v/>
      </c>
      <c r="M111" t="str">
        <v>F</v>
      </c>
    </row>
    <row r="112" ht="15.75" customHeight="1">
      <c r="B112">
        <v>48</v>
      </c>
      <c r="C112" t="str">
        <f>IF('INPUT DATA'!Q57="","",'INPUT DATA'!Q57)</f>
        <v/>
      </c>
      <c r="F112" t="str">
        <f>IF('INPUT DATA'!R57="","",'INPUT DATA'!R57)</f>
        <v/>
      </c>
      <c r="H112" s="2" t="str">
        <f>IF('INPUT DATA'!S57="","",'INPUT DATA'!S57)</f>
        <v/>
      </c>
      <c r="I112" s="3" t="str">
        <f>IF(H112="","",DATEDIF(H112,DATE(2026,6,8),"Y"))</f>
        <v/>
      </c>
      <c r="J112" s="3" t="str">
        <f>IF(H112="","",DATEDIF(H112,DATE(2026,6,8),"YM"))</f>
        <v/>
      </c>
      <c r="K112" s="3" t="str">
        <f>IF(H112="","",DATEDIF(H112,DATE(2027,4,8),"Y"))</f>
        <v/>
      </c>
      <c r="L112" s="3" t="str">
        <f>IF(H112="","",DATEDIF(H112,DATE(2027,4,8),"YM"))</f>
        <v/>
      </c>
      <c r="M112" t="str">
        <v>F</v>
      </c>
    </row>
    <row r="113" ht="15.75" customHeight="1">
      <c r="B113">
        <v>49</v>
      </c>
      <c r="C113" t="str">
        <f>IF('INPUT DATA'!Q58="","",'INPUT DATA'!Q58)</f>
        <v/>
      </c>
      <c r="F113" t="str">
        <f>IF('INPUT DATA'!R58="","",'INPUT DATA'!R58)</f>
        <v/>
      </c>
      <c r="H113" s="2" t="str">
        <f>IF('INPUT DATA'!S58="","",'INPUT DATA'!S58)</f>
        <v/>
      </c>
      <c r="I113" s="3" t="str">
        <f>IF(H113="","",DATEDIF(H113,DATE(2026,6,8),"Y"))</f>
        <v/>
      </c>
      <c r="J113" s="3" t="str">
        <f>IF(H113="","",DATEDIF(H113,DATE(2026,6,8),"YM"))</f>
        <v/>
      </c>
      <c r="K113" s="3" t="str">
        <f>IF(H113="","",DATEDIF(H113,DATE(2027,4,8),"Y"))</f>
        <v/>
      </c>
      <c r="L113" s="3" t="str">
        <f>IF(H113="","",DATEDIF(H113,DATE(2027,4,8),"YM"))</f>
        <v/>
      </c>
      <c r="M113" t="str">
        <v>F</v>
      </c>
    </row>
    <row r="114" ht="15.75" customHeight="1">
      <c r="B114">
        <v>50</v>
      </c>
      <c r="C114" t="str">
        <f>IF('INPUT DATA'!Q59="","",'INPUT DATA'!Q59)</f>
        <v/>
      </c>
      <c r="F114" t="str">
        <f>IF('INPUT DATA'!R59="","",'INPUT DATA'!R59)</f>
        <v/>
      </c>
      <c r="H114" s="2" t="str">
        <f>IF('INPUT DATA'!S59="","",'INPUT DATA'!S59)</f>
        <v/>
      </c>
      <c r="I114" s="3" t="str">
        <f>IF(H114="","",DATEDIF(H114,DATE(2026,6,8),"Y"))</f>
        <v/>
      </c>
      <c r="J114" s="3" t="str">
        <f>IF(H114="","",DATEDIF(H114,DATE(2026,6,8),"YM"))</f>
        <v/>
      </c>
      <c r="K114" s="3" t="str">
        <f>IF(H114="","",DATEDIF(H114,DATE(2027,4,8),"Y"))</f>
        <v/>
      </c>
      <c r="L114" s="3" t="str">
        <f>IF(H114="","",DATEDIF(H114,DATE(2027,4,8),"YM"))</f>
        <v/>
      </c>
      <c r="M114" t="str">
        <v>F</v>
      </c>
    </row>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8">
    <mergeCell ref="AH12:AH14"/>
    <mergeCell ref="AI12:AI14"/>
    <mergeCell ref="AA12:AA14"/>
    <mergeCell ref="AB12:AB14"/>
    <mergeCell ref="AC12:AC14"/>
    <mergeCell ref="AD12:AD14"/>
    <mergeCell ref="AE12:AE14"/>
    <mergeCell ref="AF12:AF14"/>
    <mergeCell ref="AG12:AG14"/>
    <mergeCell ref="AQ12:AQ14"/>
    <mergeCell ref="AR12:AR14"/>
    <mergeCell ref="AJ12:AJ14"/>
    <mergeCell ref="AK12:AK14"/>
    <mergeCell ref="AL12:AL14"/>
    <mergeCell ref="AM12:AM14"/>
    <mergeCell ref="AN12:AN14"/>
    <mergeCell ref="AO12:AO14"/>
    <mergeCell ref="AP12:AP14"/>
    <mergeCell ref="N11:R11"/>
    <mergeCell ref="S11:Y11"/>
    <mergeCell ref="Z11:AS11"/>
    <mergeCell ref="AT11:BU11"/>
    <mergeCell ref="AT12:AW12"/>
    <mergeCell ref="AX12:AY12"/>
    <mergeCell ref="AZ12:BE12"/>
    <mergeCell ref="BF12:BK12"/>
    <mergeCell ref="BL12:BM12"/>
    <mergeCell ref="BN12:BP12"/>
    <mergeCell ref="BQ12:BU12"/>
    <mergeCell ref="BJ13:BK13"/>
    <mergeCell ref="BL13:BL14"/>
    <mergeCell ref="AZ13:AZ14"/>
    <mergeCell ref="BA13:BA14"/>
    <mergeCell ref="BB13:BB14"/>
    <mergeCell ref="BC13:BC14"/>
    <mergeCell ref="BD13:BD14"/>
    <mergeCell ref="BE13:BE14"/>
    <mergeCell ref="BG13:BH13"/>
    <mergeCell ref="BT13:BT14"/>
    <mergeCell ref="BU13:BU14"/>
    <mergeCell ref="BM13:BM14"/>
    <mergeCell ref="BN13:BN14"/>
    <mergeCell ref="BO13:BO14"/>
    <mergeCell ref="BP13:BP14"/>
    <mergeCell ref="BQ13:BQ14"/>
    <mergeCell ref="BR13:BR14"/>
    <mergeCell ref="BS13:BS14"/>
    <mergeCell ref="N9:Q9"/>
    <mergeCell ref="R9:AD9"/>
    <mergeCell ref="AE9:AG10"/>
    <mergeCell ref="AH9:BU10"/>
    <mergeCell ref="N10:Q10"/>
    <mergeCell ref="R10:AD10"/>
    <mergeCell ref="A1:V4"/>
    <mergeCell ref="E5:G5"/>
    <mergeCell ref="K5:M5"/>
    <mergeCell ref="E6:G6"/>
    <mergeCell ref="K6:M6"/>
    <mergeCell ref="T6:U6"/>
    <mergeCell ref="B9:H11"/>
    <mergeCell ref="J12:J14"/>
    <mergeCell ref="K12:K14"/>
    <mergeCell ref="L12:L14"/>
    <mergeCell ref="N12:N14"/>
    <mergeCell ref="O12:O14"/>
    <mergeCell ref="P12:P14"/>
    <mergeCell ref="Q12:Q14"/>
    <mergeCell ref="R12:R14"/>
    <mergeCell ref="S12:S14"/>
    <mergeCell ref="B15:BU15"/>
    <mergeCell ref="T12:T14"/>
    <mergeCell ref="U12:U14"/>
    <mergeCell ref="V12:V14"/>
    <mergeCell ref="W12:W14"/>
    <mergeCell ref="X12:X14"/>
    <mergeCell ref="Y12:Y14"/>
    <mergeCell ref="Z12:Z14"/>
    <mergeCell ref="AS12:AS14"/>
    <mergeCell ref="AT13:AT14"/>
    <mergeCell ref="AU13:AU14"/>
    <mergeCell ref="AV13:AV14"/>
    <mergeCell ref="AW13:AW14"/>
    <mergeCell ref="AX13:AX14"/>
    <mergeCell ref="AY13:AY14"/>
    <mergeCell ref="I9:J11"/>
    <mergeCell ref="K9:L11"/>
    <mergeCell ref="M9:M14"/>
    <mergeCell ref="B12:E14"/>
    <mergeCell ref="F12:G14"/>
    <mergeCell ref="H12:H14"/>
    <mergeCell ref="I12:I14"/>
    <mergeCell ref="C37:E37"/>
    <mergeCell ref="F37:G37"/>
    <mergeCell ref="C38:E38"/>
    <mergeCell ref="F38:G38"/>
    <mergeCell ref="C39:E39"/>
    <mergeCell ref="F39:G39"/>
    <mergeCell ref="F40:G40"/>
    <mergeCell ref="C40:E40"/>
    <mergeCell ref="C41:E41"/>
    <mergeCell ref="F41:G41"/>
    <mergeCell ref="C42:E42"/>
    <mergeCell ref="F42:G42"/>
    <mergeCell ref="C43:E43"/>
    <mergeCell ref="F43:G43"/>
    <mergeCell ref="B65:BU65"/>
    <mergeCell ref="C94:E94"/>
    <mergeCell ref="F94:G94"/>
    <mergeCell ref="C95:E95"/>
    <mergeCell ref="F95:G95"/>
    <mergeCell ref="C96:E96"/>
    <mergeCell ref="F96:G96"/>
    <mergeCell ref="F97:G97"/>
    <mergeCell ref="C97:E97"/>
    <mergeCell ref="C98:E98"/>
    <mergeCell ref="F98:G98"/>
    <mergeCell ref="C99:E99"/>
    <mergeCell ref="F99:G99"/>
    <mergeCell ref="C100:E100"/>
    <mergeCell ref="F100:G100"/>
    <mergeCell ref="C101:E101"/>
    <mergeCell ref="F101:G101"/>
    <mergeCell ref="C102:E102"/>
    <mergeCell ref="F102:G102"/>
    <mergeCell ref="C103:E103"/>
    <mergeCell ref="F103:G103"/>
    <mergeCell ref="F104:G104"/>
    <mergeCell ref="C104:E104"/>
    <mergeCell ref="C105:E105"/>
    <mergeCell ref="F105:G105"/>
    <mergeCell ref="C106:E106"/>
    <mergeCell ref="F106:G106"/>
    <mergeCell ref="C107:E107"/>
    <mergeCell ref="F107:G107"/>
    <mergeCell ref="C16:E16"/>
    <mergeCell ref="F16:G16"/>
    <mergeCell ref="C17:E17"/>
    <mergeCell ref="F17:G17"/>
    <mergeCell ref="C18:E18"/>
    <mergeCell ref="F18:G18"/>
    <mergeCell ref="F19:G19"/>
    <mergeCell ref="C19:E19"/>
    <mergeCell ref="C20:E20"/>
    <mergeCell ref="F20:G20"/>
    <mergeCell ref="C21:E21"/>
    <mergeCell ref="F21:G21"/>
    <mergeCell ref="C22:E22"/>
    <mergeCell ref="F22:G22"/>
    <mergeCell ref="C23:E23"/>
    <mergeCell ref="F23:G23"/>
    <mergeCell ref="C24:E24"/>
    <mergeCell ref="F24:G24"/>
    <mergeCell ref="C25:E25"/>
    <mergeCell ref="F25:G25"/>
    <mergeCell ref="F26:G26"/>
    <mergeCell ref="C26:E26"/>
    <mergeCell ref="C27:E27"/>
    <mergeCell ref="F27:G27"/>
    <mergeCell ref="C28:E28"/>
    <mergeCell ref="F28:G28"/>
    <mergeCell ref="C29:E29"/>
    <mergeCell ref="F29:G29"/>
    <mergeCell ref="C30:E30"/>
    <mergeCell ref="F30:G30"/>
    <mergeCell ref="C31:E31"/>
    <mergeCell ref="F31:G31"/>
    <mergeCell ref="C32:E32"/>
    <mergeCell ref="F32:G32"/>
    <mergeCell ref="F33:G33"/>
    <mergeCell ref="C33:E33"/>
    <mergeCell ref="C34:E34"/>
    <mergeCell ref="F34:G34"/>
    <mergeCell ref="C35:E35"/>
    <mergeCell ref="F35:G35"/>
    <mergeCell ref="C36:E36"/>
    <mergeCell ref="F36:G36"/>
    <mergeCell ref="C111:E111"/>
    <mergeCell ref="C112:E112"/>
    <mergeCell ref="F112:G112"/>
    <mergeCell ref="C113:E113"/>
    <mergeCell ref="F113:G113"/>
    <mergeCell ref="C114:E114"/>
    <mergeCell ref="F114:G114"/>
    <mergeCell ref="C108:E108"/>
    <mergeCell ref="F108:G108"/>
    <mergeCell ref="C109:E109"/>
    <mergeCell ref="F109:G109"/>
    <mergeCell ref="C110:E110"/>
    <mergeCell ref="F110:G110"/>
    <mergeCell ref="F111:G111"/>
    <mergeCell ref="C44:E44"/>
    <mergeCell ref="F44:G44"/>
    <mergeCell ref="C45:E45"/>
    <mergeCell ref="F45:G45"/>
    <mergeCell ref="C46:E46"/>
    <mergeCell ref="F46:G46"/>
    <mergeCell ref="F47:G47"/>
    <mergeCell ref="C47:E47"/>
    <mergeCell ref="C48:E48"/>
    <mergeCell ref="F48:G48"/>
    <mergeCell ref="C49:E49"/>
    <mergeCell ref="F49:G49"/>
    <mergeCell ref="C50:E50"/>
    <mergeCell ref="F50:G50"/>
    <mergeCell ref="C51:E51"/>
    <mergeCell ref="F51:G51"/>
    <mergeCell ref="C52:E52"/>
    <mergeCell ref="F52:G52"/>
    <mergeCell ref="C53:E53"/>
    <mergeCell ref="F53:G53"/>
    <mergeCell ref="F54:G54"/>
    <mergeCell ref="C54:E54"/>
    <mergeCell ref="C55:E55"/>
    <mergeCell ref="F55:G55"/>
    <mergeCell ref="C56:E56"/>
    <mergeCell ref="F56:G56"/>
    <mergeCell ref="C57:E57"/>
    <mergeCell ref="F57:G57"/>
    <mergeCell ref="C58:E58"/>
    <mergeCell ref="F58:G58"/>
    <mergeCell ref="C59:E59"/>
    <mergeCell ref="F59:G59"/>
    <mergeCell ref="C60:E60"/>
    <mergeCell ref="F60:G60"/>
    <mergeCell ref="F61:G61"/>
    <mergeCell ref="C61:E61"/>
    <mergeCell ref="C62:E62"/>
    <mergeCell ref="F62:G62"/>
    <mergeCell ref="C63:E63"/>
    <mergeCell ref="F63:G63"/>
    <mergeCell ref="C64:E64"/>
    <mergeCell ref="F64:G64"/>
    <mergeCell ref="C66:E66"/>
    <mergeCell ref="F66:G66"/>
    <mergeCell ref="C67:E67"/>
    <mergeCell ref="F67:G67"/>
    <mergeCell ref="C68:E68"/>
    <mergeCell ref="F68:G68"/>
    <mergeCell ref="F69:G69"/>
    <mergeCell ref="C69:E69"/>
    <mergeCell ref="C70:E70"/>
    <mergeCell ref="F70:G70"/>
    <mergeCell ref="C71:E71"/>
    <mergeCell ref="F71:G71"/>
    <mergeCell ref="C72:E72"/>
    <mergeCell ref="F72:G72"/>
    <mergeCell ref="C73:E73"/>
    <mergeCell ref="F73:G73"/>
    <mergeCell ref="C74:E74"/>
    <mergeCell ref="F74:G74"/>
    <mergeCell ref="C75:E75"/>
    <mergeCell ref="F75:G75"/>
    <mergeCell ref="F76:G76"/>
    <mergeCell ref="C76:E76"/>
    <mergeCell ref="C77:E77"/>
    <mergeCell ref="F77:G77"/>
    <mergeCell ref="C78:E78"/>
    <mergeCell ref="F78:G78"/>
    <mergeCell ref="C79:E79"/>
    <mergeCell ref="F79:G79"/>
    <mergeCell ref="C80:E80"/>
    <mergeCell ref="F80:G80"/>
    <mergeCell ref="C81:E81"/>
    <mergeCell ref="F81:G81"/>
    <mergeCell ref="C82:E82"/>
    <mergeCell ref="F82:G82"/>
    <mergeCell ref="F83:G83"/>
    <mergeCell ref="C83:E83"/>
    <mergeCell ref="C84:E84"/>
    <mergeCell ref="F84:G84"/>
    <mergeCell ref="C85:E85"/>
    <mergeCell ref="F85:G85"/>
    <mergeCell ref="C86:E86"/>
    <mergeCell ref="F86:G86"/>
    <mergeCell ref="C87:E87"/>
    <mergeCell ref="F87:G87"/>
    <mergeCell ref="C88:E88"/>
    <mergeCell ref="F88:G88"/>
    <mergeCell ref="C89:E89"/>
    <mergeCell ref="F89:G89"/>
    <mergeCell ref="F90:G90"/>
    <mergeCell ref="C90:E90"/>
    <mergeCell ref="C91:E91"/>
    <mergeCell ref="F91:G91"/>
    <mergeCell ref="C92:E92"/>
    <mergeCell ref="F92:G92"/>
    <mergeCell ref="C93:E93"/>
    <mergeCell ref="F93:G93"/>
  </mergeCells>
  <pageMargins left="0.7" right="0.7" top="0.75" bottom="0.75" header="0" footer="0"/>
  <ignoredErrors>
    <ignoredError numberStoredAsText="1" sqref="A1:BU1000"/>
  </ignoredErrors>
</worksheet>
</file>

<file path=xl/worksheets/sheet7.xml><?xml version="1.0" encoding="utf-8"?>
<worksheet xmlns="http://schemas.openxmlformats.org/spreadsheetml/2006/main" xmlns:r="http://schemas.openxmlformats.org/officeDocument/2006/relationships">
  <dimension ref="A1:Y1000"/>
  <sheetViews>
    <sheetView workbookViewId="0" rightToLeft="0"/>
  </sheetViews>
  <cols>
    <col min="1" max="1" customWidth="1" width="3.75"/>
    <col min="2" max="2" customWidth="1" width="3.75"/>
    <col min="3" max="3" customWidth="1" width="13.13"/>
    <col min="12" max="12" customWidth="1" width="11.75"/>
    <col min="13" max="13" customWidth="1" width="12"/>
    <col min="17" max="17" customWidth="1" width="11.38"/>
  </cols>
  <sheetData>
    <row r="1" ht="15.75" customHeight="1">
      <c r="C1" t="str">
        <v>CLASS RECORD - FINALS</v>
      </c>
    </row>
    <row r="2" ht="15.75" customHeight="1"/>
    <row r="3" ht="15.75" customHeight="1"/>
    <row r="4" ht="15.75" customHeight="1"/>
    <row r="5" ht="20.25" customHeight="1">
      <c r="D5" t="str">
        <v>REGION</v>
      </c>
      <c r="E5" t="str">
        <v>Region III</v>
      </c>
      <c r="I5" t="str">
        <v>DIVISION</v>
      </c>
      <c r="J5" t="str">
        <v>BULACAN</v>
      </c>
    </row>
    <row r="6" ht="21" customHeight="1">
      <c r="D6" t="str">
        <v>SCHOOL NAME</v>
      </c>
      <c r="E6" t="str">
        <v>Fortunato F. Halili National Agricultural School</v>
      </c>
      <c r="I6" t="str">
        <v>SCHOOL ID</v>
      </c>
      <c r="J6">
        <v>123456</v>
      </c>
      <c r="M6" t="str">
        <v>SCHOOL YEAR</v>
      </c>
      <c r="N6" t="str">
        <v>2026-2027</v>
      </c>
    </row>
    <row r="7" ht="15.75" customHeight="1"/>
    <row r="8" ht="15.75" customHeight="1"/>
    <row r="9" ht="15.75" customHeight="1">
      <c r="B9" t="str">
        <v>GRADE LEVEL</v>
      </c>
      <c r="G9" t="str">
        <f>'INPUT DATA'!F27</f>
        <v/>
      </c>
      <c r="L9" t="str">
        <v>ADVISER</v>
      </c>
      <c r="M9" t="str">
        <f>'INPUT DATA'!F26</f>
        <v/>
      </c>
    </row>
    <row r="10" ht="15.75" customHeight="1">
      <c r="B10" t="str">
        <v>SECTION</v>
      </c>
      <c r="G10" t="str">
        <f>'INPUT DATA'!F28</f>
        <v/>
      </c>
    </row>
    <row r="11" ht="15.75" customHeight="1">
      <c r="B11" t="str">
        <v>LEARNERS' NAMES</v>
      </c>
      <c r="F11" t="str">
        <v>JUN</v>
      </c>
      <c r="G11" t="str">
        <v>JUL</v>
      </c>
      <c r="H11" t="str">
        <v>AUG</v>
      </c>
      <c r="I11" t="str">
        <v>SEP</v>
      </c>
      <c r="J11" t="str">
        <v>SEP</v>
      </c>
      <c r="K11" t="str">
        <v>OCT</v>
      </c>
      <c r="L11" t="str">
        <v>NOV</v>
      </c>
      <c r="M11" t="str">
        <v>DEC</v>
      </c>
      <c r="N11" t="str">
        <v>JAN</v>
      </c>
      <c r="O11" t="str">
        <v>FEB</v>
      </c>
      <c r="P11" t="str">
        <v>MAR</v>
      </c>
      <c r="Q11" t="str">
        <v>APRIL</v>
      </c>
    </row>
    <row r="12" ht="15.75" customHeight="1">
      <c r="B12" t="str">
        <v>MALE</v>
      </c>
    </row>
    <row r="13" ht="15.75" customHeight="1">
      <c r="B13">
        <v>1</v>
      </c>
      <c r="C13" t="str">
        <v>Pallorina, Dexter B.</v>
      </c>
      <c r="F13">
        <v>20</v>
      </c>
      <c r="G13">
        <v>20</v>
      </c>
      <c r="H13">
        <v>20</v>
      </c>
      <c r="I13">
        <v>10</v>
      </c>
      <c r="J13">
        <v>10</v>
      </c>
      <c r="K13">
        <v>19</v>
      </c>
      <c r="L13">
        <v>19</v>
      </c>
      <c r="M13">
        <v>16</v>
      </c>
      <c r="N13">
        <v>15</v>
      </c>
      <c r="O13">
        <v>18</v>
      </c>
      <c r="P13">
        <v>17</v>
      </c>
      <c r="Q13">
        <v>5</v>
      </c>
    </row>
    <row r="14" ht="15.75" customHeight="1">
      <c r="B14">
        <v>2</v>
      </c>
      <c r="C14" t="str">
        <v>Perez, Jim L.</v>
      </c>
      <c r="F14">
        <v>20</v>
      </c>
      <c r="G14">
        <v>19</v>
      </c>
      <c r="H14">
        <v>20</v>
      </c>
      <c r="I14">
        <v>10</v>
      </c>
      <c r="J14">
        <v>10</v>
      </c>
      <c r="K14">
        <v>20</v>
      </c>
      <c r="L14">
        <v>20</v>
      </c>
      <c r="M14">
        <v>18</v>
      </c>
      <c r="N14">
        <v>18</v>
      </c>
      <c r="O14">
        <v>18</v>
      </c>
      <c r="P14">
        <v>20</v>
      </c>
      <c r="Q14">
        <v>2</v>
      </c>
    </row>
    <row r="15" ht="15.75" customHeight="1">
      <c r="B15">
        <v>3</v>
      </c>
      <c r="C15" t="str">
        <v>Silverio, Arden C.</v>
      </c>
      <c r="F15">
        <v>20</v>
      </c>
      <c r="G15">
        <v>20</v>
      </c>
      <c r="H15">
        <v>20</v>
      </c>
      <c r="I15">
        <v>10</v>
      </c>
      <c r="J15">
        <v>10</v>
      </c>
      <c r="K15">
        <v>19</v>
      </c>
      <c r="L15">
        <v>18</v>
      </c>
      <c r="M15">
        <v>15</v>
      </c>
      <c r="N15">
        <v>18</v>
      </c>
      <c r="O15">
        <v>18</v>
      </c>
      <c r="P15">
        <v>20</v>
      </c>
      <c r="Q15">
        <v>5</v>
      </c>
    </row>
    <row r="16" ht="15.75" customHeight="1">
      <c r="B16">
        <v>4</v>
      </c>
      <c r="C16" t="str">
        <v>asdasd</v>
      </c>
    </row>
    <row r="17" ht="15.75" customHeight="1">
      <c r="B17">
        <v>5</v>
      </c>
      <c r="C17" t="str">
        <v/>
      </c>
    </row>
    <row r="18" ht="15.75" customHeight="1">
      <c r="B18">
        <v>6</v>
      </c>
      <c r="C18" t="str">
        <v/>
      </c>
    </row>
    <row r="19" ht="15.75" customHeight="1">
      <c r="B19">
        <v>7</v>
      </c>
      <c r="C19" t="str">
        <v/>
      </c>
    </row>
    <row r="20" ht="15.75" customHeight="1">
      <c r="B20">
        <v>8</v>
      </c>
      <c r="C20" t="str">
        <v/>
      </c>
    </row>
    <row r="21" ht="15.75" customHeight="1">
      <c r="B21">
        <v>9</v>
      </c>
      <c r="C21" t="str">
        <v/>
      </c>
    </row>
    <row r="22" ht="15.75" customHeight="1">
      <c r="B22">
        <v>10</v>
      </c>
      <c r="C22" t="str">
        <v/>
      </c>
    </row>
    <row r="23" ht="15.75" customHeight="1">
      <c r="B23">
        <v>11</v>
      </c>
      <c r="C23" t="str">
        <v/>
      </c>
    </row>
    <row r="24" ht="15.75" customHeight="1">
      <c r="B24">
        <v>12</v>
      </c>
      <c r="C24" t="str">
        <v/>
      </c>
    </row>
    <row r="25" ht="15.75" customHeight="1">
      <c r="B25">
        <v>13</v>
      </c>
      <c r="C25" t="str">
        <v/>
      </c>
    </row>
    <row r="26" ht="15.75" customHeight="1">
      <c r="B26">
        <v>14</v>
      </c>
      <c r="C26" t="str">
        <v/>
      </c>
    </row>
    <row r="27" ht="15.75" customHeight="1">
      <c r="B27">
        <v>15</v>
      </c>
      <c r="C27" t="str">
        <v/>
      </c>
    </row>
    <row r="28" ht="15.75" customHeight="1">
      <c r="B28">
        <v>16</v>
      </c>
      <c r="C28" t="str">
        <v/>
      </c>
    </row>
    <row r="29" ht="15.75" customHeight="1">
      <c r="B29">
        <v>17</v>
      </c>
      <c r="C29" t="str">
        <v/>
      </c>
    </row>
    <row r="30" ht="15.75" customHeight="1">
      <c r="B30">
        <v>18</v>
      </c>
      <c r="C30" t="str">
        <v/>
      </c>
    </row>
    <row r="31" ht="15.75" customHeight="1">
      <c r="B31">
        <v>19</v>
      </c>
      <c r="C31" t="str">
        <v/>
      </c>
    </row>
    <row r="32" ht="15.75" customHeight="1">
      <c r="B32">
        <v>20</v>
      </c>
      <c r="C32" t="str">
        <v/>
      </c>
    </row>
    <row r="33" ht="15.75" customHeight="1">
      <c r="B33">
        <v>21</v>
      </c>
      <c r="C33" t="str">
        <v/>
      </c>
    </row>
    <row r="34" ht="15.75" customHeight="1">
      <c r="B34">
        <v>22</v>
      </c>
      <c r="C34" t="str">
        <v/>
      </c>
    </row>
    <row r="35" ht="15.75" customHeight="1">
      <c r="B35">
        <v>23</v>
      </c>
      <c r="C35" t="str">
        <v/>
      </c>
    </row>
    <row r="36" ht="15.75" customHeight="1">
      <c r="B36">
        <v>24</v>
      </c>
      <c r="C36" t="str">
        <v/>
      </c>
    </row>
    <row r="37" ht="15.75" customHeight="1">
      <c r="B37">
        <v>25</v>
      </c>
      <c r="C37" t="str">
        <v/>
      </c>
    </row>
    <row r="38" ht="15.75" customHeight="1">
      <c r="B38">
        <v>26</v>
      </c>
      <c r="C38" t="str">
        <v/>
      </c>
    </row>
    <row r="39" ht="15.75" customHeight="1">
      <c r="B39">
        <v>27</v>
      </c>
      <c r="C39" t="str">
        <v/>
      </c>
    </row>
    <row r="40" ht="15.75" customHeight="1">
      <c r="B40">
        <v>28</v>
      </c>
      <c r="C40" t="str">
        <v/>
      </c>
    </row>
    <row r="41" ht="15.75" customHeight="1">
      <c r="B41">
        <v>29</v>
      </c>
      <c r="C41" t="str">
        <v/>
      </c>
    </row>
    <row r="42" ht="15.75" customHeight="1">
      <c r="B42">
        <v>30</v>
      </c>
      <c r="C42" t="str">
        <v/>
      </c>
    </row>
    <row r="43" ht="15.75" customHeight="1">
      <c r="B43">
        <v>31</v>
      </c>
      <c r="C43" t="str">
        <v/>
      </c>
    </row>
    <row r="44" ht="15.75" customHeight="1">
      <c r="B44">
        <v>32</v>
      </c>
      <c r="C44" t="str">
        <v/>
      </c>
    </row>
    <row r="45" ht="15.75" customHeight="1">
      <c r="B45">
        <v>33</v>
      </c>
      <c r="C45" t="str">
        <v/>
      </c>
    </row>
    <row r="46" ht="15.75" customHeight="1">
      <c r="B46">
        <v>34</v>
      </c>
      <c r="C46" t="str">
        <v/>
      </c>
    </row>
    <row r="47" ht="15.75" customHeight="1">
      <c r="B47">
        <v>35</v>
      </c>
      <c r="C47" t="str">
        <v/>
      </c>
    </row>
    <row r="48" ht="15.75" customHeight="1">
      <c r="B48">
        <v>36</v>
      </c>
      <c r="C48" t="str">
        <v/>
      </c>
    </row>
    <row r="49" ht="15.75" customHeight="1">
      <c r="B49">
        <v>37</v>
      </c>
      <c r="C49" t="str">
        <v/>
      </c>
    </row>
    <row r="50" ht="15.75" customHeight="1">
      <c r="B50">
        <v>38</v>
      </c>
      <c r="C50" t="str">
        <v/>
      </c>
    </row>
    <row r="51" ht="15.75" customHeight="1">
      <c r="B51">
        <v>39</v>
      </c>
      <c r="C51" t="str">
        <v/>
      </c>
    </row>
    <row r="52" ht="15.75" customHeight="1">
      <c r="B52">
        <v>40</v>
      </c>
      <c r="C52" t="str">
        <v/>
      </c>
    </row>
    <row r="53" ht="15.75" customHeight="1">
      <c r="B53">
        <v>41</v>
      </c>
      <c r="C53" t="str">
        <v/>
      </c>
    </row>
    <row r="54" ht="15.75" customHeight="1">
      <c r="B54">
        <v>42</v>
      </c>
      <c r="C54" t="str">
        <v/>
      </c>
    </row>
    <row r="55" ht="15.75" customHeight="1">
      <c r="B55">
        <v>43</v>
      </c>
      <c r="C55" t="str">
        <v/>
      </c>
    </row>
    <row r="56" ht="15.75" customHeight="1">
      <c r="B56">
        <v>44</v>
      </c>
      <c r="C56" t="str">
        <v/>
      </c>
    </row>
    <row r="57" ht="15.75" customHeight="1">
      <c r="B57">
        <v>45</v>
      </c>
      <c r="C57" t="str">
        <v/>
      </c>
    </row>
    <row r="58" ht="15.75" customHeight="1">
      <c r="B58">
        <v>46</v>
      </c>
      <c r="C58" t="str">
        <v/>
      </c>
    </row>
    <row r="59" ht="15.75" customHeight="1">
      <c r="B59">
        <v>47</v>
      </c>
      <c r="C59" t="str">
        <v/>
      </c>
    </row>
    <row r="60" ht="15.75" customHeight="1">
      <c r="B60">
        <v>48</v>
      </c>
      <c r="C60" t="str">
        <v/>
      </c>
    </row>
    <row r="61" ht="15.75" customHeight="1">
      <c r="B61">
        <v>49</v>
      </c>
      <c r="C61" t="str">
        <v/>
      </c>
    </row>
    <row r="62" ht="15.75" customHeight="1">
      <c r="B62">
        <v>50</v>
      </c>
      <c r="C62" t="str">
        <v/>
      </c>
    </row>
    <row r="63" ht="15.75" customHeight="1">
      <c r="B63" t="str">
        <v>FEMALE</v>
      </c>
    </row>
    <row r="64" ht="15.75" customHeight="1">
      <c r="B64">
        <v>1</v>
      </c>
      <c r="C64" t="str">
        <v>Cruz, Daryhlla A.</v>
      </c>
      <c r="F64">
        <v>15</v>
      </c>
      <c r="G64">
        <v>20</v>
      </c>
      <c r="H64">
        <v>20</v>
      </c>
      <c r="I64">
        <v>10</v>
      </c>
      <c r="J64">
        <v>10</v>
      </c>
      <c r="K64">
        <v>17</v>
      </c>
      <c r="L64">
        <v>20</v>
      </c>
      <c r="M64">
        <v>20</v>
      </c>
      <c r="N64">
        <v>18</v>
      </c>
      <c r="O64">
        <v>18</v>
      </c>
      <c r="P64">
        <v>20</v>
      </c>
      <c r="Q64">
        <v>2</v>
      </c>
    </row>
    <row r="65" ht="15.75" customHeight="1">
      <c r="B65">
        <v>2</v>
      </c>
      <c r="C65" t="str">
        <v>Salgado, Yanina C.</v>
      </c>
      <c r="F65">
        <v>20</v>
      </c>
      <c r="G65">
        <v>16</v>
      </c>
      <c r="H65">
        <v>20</v>
      </c>
      <c r="I65">
        <v>10</v>
      </c>
      <c r="J65">
        <v>10</v>
      </c>
      <c r="K65">
        <v>20</v>
      </c>
      <c r="L65">
        <v>20</v>
      </c>
      <c r="M65">
        <v>20</v>
      </c>
      <c r="N65">
        <v>18</v>
      </c>
      <c r="O65">
        <v>18</v>
      </c>
      <c r="P65">
        <v>20</v>
      </c>
      <c r="Q65">
        <v>5</v>
      </c>
    </row>
    <row r="66" ht="15.75" customHeight="1">
      <c r="B66">
        <v>3</v>
      </c>
      <c r="C66" t="str">
        <v>Torres, Johann A.</v>
      </c>
      <c r="F66">
        <v>18</v>
      </c>
      <c r="G66">
        <v>20</v>
      </c>
      <c r="H66">
        <v>20</v>
      </c>
      <c r="I66">
        <v>10</v>
      </c>
      <c r="J66">
        <v>10</v>
      </c>
      <c r="K66">
        <v>20</v>
      </c>
      <c r="L66">
        <v>19</v>
      </c>
      <c r="M66">
        <v>20</v>
      </c>
      <c r="N66">
        <v>18</v>
      </c>
      <c r="O66">
        <v>18</v>
      </c>
      <c r="P66">
        <v>20</v>
      </c>
      <c r="Q66">
        <v>3</v>
      </c>
    </row>
    <row r="67" ht="15.75" customHeight="1">
      <c r="B67">
        <v>4</v>
      </c>
      <c r="C67" t="str">
        <v/>
      </c>
    </row>
    <row r="68" ht="15.75" customHeight="1">
      <c r="B68">
        <v>5</v>
      </c>
      <c r="C68" t="str">
        <v/>
      </c>
    </row>
    <row r="69" ht="15.75" customHeight="1">
      <c r="B69">
        <v>6</v>
      </c>
      <c r="C69" t="str">
        <v/>
      </c>
    </row>
    <row r="70" ht="15.75" customHeight="1">
      <c r="B70">
        <v>7</v>
      </c>
      <c r="C70" t="str">
        <v/>
      </c>
    </row>
    <row r="71" ht="15.75" customHeight="1">
      <c r="B71">
        <v>8</v>
      </c>
      <c r="C71" t="str">
        <v/>
      </c>
    </row>
    <row r="72" ht="15.75" customHeight="1">
      <c r="B72">
        <v>9</v>
      </c>
      <c r="C72" t="str">
        <v/>
      </c>
    </row>
    <row r="73" ht="15.75" customHeight="1">
      <c r="B73">
        <v>10</v>
      </c>
      <c r="C73" t="str">
        <v/>
      </c>
    </row>
    <row r="74" ht="15.75" customHeight="1">
      <c r="B74">
        <v>11</v>
      </c>
      <c r="C74" t="str">
        <v/>
      </c>
    </row>
    <row r="75" ht="15.75" customHeight="1">
      <c r="B75">
        <v>12</v>
      </c>
      <c r="C75" t="str">
        <v/>
      </c>
    </row>
    <row r="76" ht="15.75" customHeight="1">
      <c r="B76">
        <v>13</v>
      </c>
      <c r="C76" t="str">
        <v/>
      </c>
    </row>
    <row r="77" ht="15.75" customHeight="1">
      <c r="B77">
        <v>14</v>
      </c>
      <c r="C77" t="str">
        <v/>
      </c>
    </row>
    <row r="78" ht="15.75" customHeight="1">
      <c r="B78">
        <v>15</v>
      </c>
      <c r="C78" t="str">
        <v/>
      </c>
    </row>
    <row r="79" ht="15.75" customHeight="1">
      <c r="B79">
        <v>16</v>
      </c>
      <c r="C79" t="str">
        <v/>
      </c>
    </row>
    <row r="80" ht="15.75" customHeight="1">
      <c r="B80">
        <v>17</v>
      </c>
      <c r="C80" t="str">
        <v/>
      </c>
    </row>
    <row r="81" ht="15.75" customHeight="1">
      <c r="B81">
        <v>18</v>
      </c>
      <c r="C81" t="str">
        <v/>
      </c>
    </row>
    <row r="82" ht="15.75" customHeight="1">
      <c r="B82">
        <v>19</v>
      </c>
      <c r="C82" t="str">
        <v/>
      </c>
    </row>
    <row r="83" ht="15.75" customHeight="1">
      <c r="B83">
        <v>20</v>
      </c>
      <c r="C83" t="str">
        <v/>
      </c>
    </row>
    <row r="84" ht="15.75" customHeight="1">
      <c r="B84">
        <v>21</v>
      </c>
      <c r="C84" t="str">
        <v/>
      </c>
    </row>
    <row r="85" ht="15.75" customHeight="1">
      <c r="B85">
        <v>22</v>
      </c>
      <c r="C85" t="str">
        <v/>
      </c>
    </row>
    <row r="86" ht="15.75" customHeight="1">
      <c r="B86">
        <v>23</v>
      </c>
      <c r="C86" t="str">
        <v/>
      </c>
    </row>
    <row r="87" ht="15.75" customHeight="1">
      <c r="B87">
        <v>24</v>
      </c>
      <c r="C87" t="str">
        <v/>
      </c>
    </row>
    <row r="88" ht="15.75" customHeight="1">
      <c r="B88">
        <v>25</v>
      </c>
      <c r="C88" t="str">
        <v/>
      </c>
    </row>
    <row r="89" ht="15.75" customHeight="1">
      <c r="B89">
        <v>26</v>
      </c>
      <c r="C89" t="str">
        <v/>
      </c>
    </row>
    <row r="90" ht="15.75" customHeight="1">
      <c r="B90">
        <v>27</v>
      </c>
      <c r="C90" t="str">
        <v/>
      </c>
    </row>
    <row r="91" ht="15.75" customHeight="1">
      <c r="B91">
        <v>28</v>
      </c>
      <c r="C91" t="str">
        <v/>
      </c>
    </row>
    <row r="92" ht="15.75" customHeight="1">
      <c r="B92">
        <v>29</v>
      </c>
      <c r="C92" t="str">
        <v/>
      </c>
    </row>
    <row r="93" ht="15.75" customHeight="1">
      <c r="B93">
        <v>30</v>
      </c>
      <c r="C93" t="str">
        <v/>
      </c>
    </row>
    <row r="94" ht="15.75" customHeight="1">
      <c r="B94">
        <v>31</v>
      </c>
      <c r="C94" t="str">
        <v/>
      </c>
    </row>
    <row r="95" ht="15.75" customHeight="1">
      <c r="B95">
        <v>32</v>
      </c>
      <c r="C95" t="str">
        <v/>
      </c>
    </row>
    <row r="96" ht="15.75" customHeight="1">
      <c r="B96">
        <v>33</v>
      </c>
      <c r="C96" t="str">
        <v/>
      </c>
    </row>
    <row r="97" ht="15.75" customHeight="1">
      <c r="B97">
        <v>34</v>
      </c>
      <c r="C97" t="str">
        <v/>
      </c>
    </row>
    <row r="98" ht="15.75" customHeight="1">
      <c r="B98">
        <v>35</v>
      </c>
      <c r="C98" t="str">
        <v/>
      </c>
    </row>
    <row r="99" ht="15.75" customHeight="1">
      <c r="B99">
        <v>36</v>
      </c>
      <c r="C99" t="str">
        <v/>
      </c>
    </row>
    <row r="100" ht="15.75" customHeight="1">
      <c r="B100">
        <v>37</v>
      </c>
      <c r="C100" t="str">
        <v/>
      </c>
    </row>
    <row r="101" ht="15.75" customHeight="1">
      <c r="B101">
        <v>38</v>
      </c>
      <c r="C101" t="str">
        <v/>
      </c>
    </row>
    <row r="102" ht="15.75" customHeight="1">
      <c r="B102">
        <v>39</v>
      </c>
      <c r="C102" t="str">
        <v/>
      </c>
    </row>
    <row r="103" ht="15.75" customHeight="1">
      <c r="B103">
        <v>40</v>
      </c>
      <c r="C103" t="str">
        <v/>
      </c>
    </row>
    <row r="104" ht="15.75" customHeight="1">
      <c r="B104">
        <v>41</v>
      </c>
      <c r="C104" t="str">
        <v/>
      </c>
    </row>
    <row r="105" ht="15.75" customHeight="1">
      <c r="B105">
        <v>42</v>
      </c>
      <c r="C105" t="str">
        <v/>
      </c>
    </row>
    <row r="106" ht="15.75" customHeight="1">
      <c r="B106">
        <v>43</v>
      </c>
      <c r="C106" t="str">
        <v/>
      </c>
    </row>
    <row r="107" ht="15.75" customHeight="1">
      <c r="B107">
        <v>44</v>
      </c>
      <c r="C107" t="str">
        <v/>
      </c>
    </row>
    <row r="108" ht="15.75" customHeight="1">
      <c r="B108">
        <v>45</v>
      </c>
      <c r="C108" t="str">
        <v/>
      </c>
    </row>
    <row r="109" ht="15.75" customHeight="1">
      <c r="B109">
        <v>46</v>
      </c>
      <c r="C109" t="str">
        <v/>
      </c>
    </row>
    <row r="110" ht="15.75" customHeight="1">
      <c r="B110">
        <v>47</v>
      </c>
      <c r="C110" t="str">
        <v/>
      </c>
    </row>
    <row r="111" ht="15.75" customHeight="1">
      <c r="B111">
        <v>48</v>
      </c>
      <c r="C111" t="str">
        <v/>
      </c>
    </row>
    <row r="112" ht="15.75" customHeight="1">
      <c r="B112">
        <v>49</v>
      </c>
      <c r="C112" t="str">
        <v/>
      </c>
    </row>
    <row r="113" ht="15.75" customHeight="1">
      <c r="B113">
        <v>50</v>
      </c>
      <c r="C113" t="str">
        <v/>
      </c>
    </row>
    <row r="114" ht="15.75" customHeight="1"/>
    <row r="115" ht="19.5" customHeight="1">
      <c r="B115" t="str">
        <v>TOTAL NUMBER OF SCHOOL DAYS</v>
      </c>
      <c r="E115" t="str">
        <v>TOTAL</v>
      </c>
      <c r="F115" t="str">
        <v>JUN</v>
      </c>
      <c r="G115" t="str">
        <v>JUL</v>
      </c>
      <c r="H115" t="str">
        <v>AUG</v>
      </c>
      <c r="I115" t="str">
        <v>SEP</v>
      </c>
      <c r="J115" t="str">
        <v>SEP</v>
      </c>
      <c r="K115" t="str">
        <v>OCT</v>
      </c>
      <c r="L115" t="str">
        <v>NOV</v>
      </c>
      <c r="M115" t="str">
        <v>DEC</v>
      </c>
      <c r="N115" t="str">
        <v>JAN</v>
      </c>
      <c r="O115" t="str">
        <v>FEB</v>
      </c>
      <c r="P115" t="str">
        <v>MAR</v>
      </c>
      <c r="Q115" t="str">
        <v>APR</v>
      </c>
    </row>
    <row r="116" ht="19.5" customHeight="1">
      <c r="E116">
        <f>SUM(F116:Q116)</f>
        <v>201</v>
      </c>
      <c r="F116">
        <v>20</v>
      </c>
      <c r="G116">
        <v>20</v>
      </c>
      <c r="H116">
        <v>20</v>
      </c>
      <c r="I116">
        <v>10</v>
      </c>
      <c r="J116">
        <v>10</v>
      </c>
      <c r="K116">
        <v>20</v>
      </c>
      <c r="L116">
        <v>20</v>
      </c>
      <c r="M116">
        <v>20</v>
      </c>
      <c r="N116">
        <v>18</v>
      </c>
      <c r="O116">
        <v>18</v>
      </c>
      <c r="P116">
        <v>20</v>
      </c>
      <c r="Q116">
        <v>5</v>
      </c>
    </row>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2">
    <mergeCell ref="C1:Q3"/>
    <mergeCell ref="E5:G5"/>
    <mergeCell ref="J5:K5"/>
    <mergeCell ref="E6:G6"/>
    <mergeCell ref="J6:K6"/>
    <mergeCell ref="N6:O6"/>
    <mergeCell ref="B8:Q8"/>
    <mergeCell ref="B9:F9"/>
    <mergeCell ref="G9:K9"/>
    <mergeCell ref="L9:L10"/>
    <mergeCell ref="M9:Q10"/>
    <mergeCell ref="B10:F10"/>
    <mergeCell ref="G10:K10"/>
    <mergeCell ref="B12:Q12"/>
    <mergeCell ref="B11:E11"/>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61:E61"/>
    <mergeCell ref="C62:E62"/>
    <mergeCell ref="B63:Q63"/>
    <mergeCell ref="C54:E54"/>
    <mergeCell ref="C55:E55"/>
    <mergeCell ref="C56:E56"/>
    <mergeCell ref="C57:E57"/>
    <mergeCell ref="C58:E58"/>
    <mergeCell ref="C59:E59"/>
    <mergeCell ref="C60:E60"/>
    <mergeCell ref="C64:E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H126:I126"/>
    <mergeCell ref="H127:I127"/>
    <mergeCell ref="H128:I128"/>
    <mergeCell ref="H129:I129"/>
    <mergeCell ref="H130:I130"/>
    <mergeCell ref="H131:I131"/>
    <mergeCell ref="H132:I132"/>
    <mergeCell ref="H133:I133"/>
    <mergeCell ref="F122:G122"/>
    <mergeCell ref="H122:I122"/>
    <mergeCell ref="F123:G123"/>
    <mergeCell ref="H123:I123"/>
    <mergeCell ref="F124:G124"/>
    <mergeCell ref="H124:I124"/>
    <mergeCell ref="H125:I125"/>
    <mergeCell ref="F125:G125"/>
    <mergeCell ref="F126:G126"/>
    <mergeCell ref="F127:G127"/>
    <mergeCell ref="F128:G128"/>
    <mergeCell ref="F129:G129"/>
    <mergeCell ref="F130:G130"/>
    <mergeCell ref="F131:G131"/>
    <mergeCell ref="F139:G139"/>
    <mergeCell ref="F140:G140"/>
    <mergeCell ref="F141:G141"/>
    <mergeCell ref="F142:G142"/>
    <mergeCell ref="F143:G143"/>
    <mergeCell ref="F144:G144"/>
    <mergeCell ref="F145:G145"/>
    <mergeCell ref="F132:G132"/>
    <mergeCell ref="F133:G133"/>
    <mergeCell ref="F134:G134"/>
    <mergeCell ref="F135:G135"/>
    <mergeCell ref="F136:G136"/>
    <mergeCell ref="F137:G137"/>
    <mergeCell ref="F138:G138"/>
    <mergeCell ref="M127:N127"/>
    <mergeCell ref="M128:N128"/>
    <mergeCell ref="M129:N129"/>
    <mergeCell ref="M130:N130"/>
    <mergeCell ref="M131:N131"/>
    <mergeCell ref="M132:N132"/>
    <mergeCell ref="M133:N133"/>
    <mergeCell ref="M141:N141"/>
    <mergeCell ref="M142:N142"/>
    <mergeCell ref="M134:N134"/>
    <mergeCell ref="M135:N135"/>
    <mergeCell ref="M136:N136"/>
    <mergeCell ref="M137:N137"/>
    <mergeCell ref="M138:N138"/>
    <mergeCell ref="M139:N139"/>
    <mergeCell ref="M140:N140"/>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13:E113"/>
    <mergeCell ref="F114:G114"/>
    <mergeCell ref="H114:I114"/>
    <mergeCell ref="M114:N114"/>
    <mergeCell ref="C106:E106"/>
    <mergeCell ref="C107:E107"/>
    <mergeCell ref="C108:E108"/>
    <mergeCell ref="C109:E109"/>
    <mergeCell ref="C110:E110"/>
    <mergeCell ref="C111:E111"/>
    <mergeCell ref="C112:E112"/>
    <mergeCell ref="B115:D116"/>
    <mergeCell ref="F117:G117"/>
    <mergeCell ref="H117:I117"/>
    <mergeCell ref="M117:N117"/>
    <mergeCell ref="F118:G118"/>
    <mergeCell ref="H118:I118"/>
    <mergeCell ref="M118:N118"/>
    <mergeCell ref="F119:G119"/>
    <mergeCell ref="H119:I119"/>
    <mergeCell ref="M119:N119"/>
    <mergeCell ref="F120:G120"/>
    <mergeCell ref="H120:I120"/>
    <mergeCell ref="F121:G121"/>
    <mergeCell ref="H121:I121"/>
    <mergeCell ref="M120:N120"/>
    <mergeCell ref="M121:N121"/>
    <mergeCell ref="M122:N122"/>
    <mergeCell ref="M123:N123"/>
    <mergeCell ref="M124:N124"/>
    <mergeCell ref="M125:N125"/>
    <mergeCell ref="M126:N126"/>
  </mergeCells>
  <pageMargins left="0.7" right="0.7" top="0.75" bottom="0.75" header="0" footer="0"/>
  <ignoredErrors>
    <ignoredError numberStoredAsText="1" sqref="A1:Y1000"/>
  </ignoredErrors>
</worksheet>
</file>

<file path=xl/worksheets/sheet8.xml><?xml version="1.0" encoding="utf-8"?>
<worksheet xmlns="http://schemas.openxmlformats.org/spreadsheetml/2006/main" xmlns:r="http://schemas.openxmlformats.org/officeDocument/2006/relationships">
  <dimension ref="A1:A1000"/>
  <sheetViews>
    <sheetView workbookViewId="0" rightToLeft="0"/>
  </sheetViews>
  <cols>
    <col min="1" max="1" customWidth="1" width="8.63"/>
    <col min="2" max="2" customWidth="1" width="8.63"/>
    <col min="3" max="3" customWidth="1" width="8.63"/>
    <col min="4" max="4" customWidth="1" width="8.63"/>
    <col min="5" max="5" customWidth="1" width="8.63"/>
    <col min="6" max="6" customWidth="1" width="8.63"/>
    <col min="7" max="7" customWidth="1" width="8.63"/>
    <col min="8" max="8" customWidth="1" width="8.63"/>
    <col min="9" max="9" customWidth="1" width="8.63"/>
    <col min="10" max="10" customWidth="1" width="8.63"/>
    <col min="11" max="11" customWidth="1" width="8.63"/>
    <col min="12" max="12" customWidth="1" width="8.63"/>
    <col min="13" max="13" customWidth="1" width="8.63"/>
    <col min="14" max="14" customWidth="1" width="8.63"/>
    <col min="15" max="15" customWidth="1" width="8.63"/>
    <col min="16" max="16" customWidth="1" width="8.63"/>
    <col min="17" max="17" customWidth="1" width="8.63"/>
    <col min="18" max="18" customWidth="1" width="8.63"/>
    <col min="19" max="19" customWidth="1" width="8.63"/>
    <col min="20" max="20" customWidth="1" width="8.63"/>
    <col min="21" max="21" customWidth="1" width="8.63"/>
    <col min="22" max="22" customWidth="1" width="8.63"/>
    <col min="23" max="23" customWidth="1" width="8.63"/>
    <col min="24" max="24" customWidth="1" width="8.63"/>
    <col min="25" max="25" customWidth="1" width="8.63"/>
    <col min="26" max="26" customWidth="1" width="8.63"/>
  </cols>
  <sheetData>
    <row r="1" ht="12.75" customHeight="1">
      <c r="A1" t="str">
        <f t="array" ref="A1">IFERROR(IF(ROWS($A$1:A1)&lt;=COUNTA('INPUT DATA'!$L$11:$L$60),INDEX('INPUT DATA'!$L$11:$L$60,_xludf.AGGREGATE(15,6,(ROW('INPUT DATA'!$L$11:$L$60)-ROW('INPUT DATA'!$L$11)+1)/('INPUT DATA'!$L$11:$L$60&lt;&gt;""),ROWS($A$1:A1))),INDEX('INPUT DATA'!$Q$11:$Q$60,_xludf.AGGREGATE(15,6,(ROW('INPUT DATA'!$Q$11:$Q$60)-ROW('INPUT DATA'!$Q$11)+1)/('INPUT DATA'!$Q$11:$Q$60&lt;&gt;""),ROWS($A$1:A1)-COUNTA('INPUT DATA'!$L$11:$L$60)))),"")</f>
        <v/>
      </c>
    </row>
    <row r="2" ht="12.75" customHeight="1">
      <c r="A2" t="str">
        <f t="array" ref="A2">IFERROR(IF(ROWS($A$1:A2)&lt;=COUNTA('INPUT DATA'!$L$11:$L$60),INDEX('INPUT DATA'!$L$11:$L$60,_xludf.AGGREGATE(15,6,(ROW('INPUT DATA'!$L$11:$L$60)-ROW('INPUT DATA'!$L$11)+1)/('INPUT DATA'!$L$11:$L$60&lt;&gt;""),ROWS($A$1:A2))),INDEX('INPUT DATA'!$Q$11:$Q$60,_xludf.AGGREGATE(15,6,(ROW('INPUT DATA'!$Q$11:$Q$60)-ROW('INPUT DATA'!$Q$11)+1)/('INPUT DATA'!$Q$11:$Q$60&lt;&gt;""),ROWS($A$1:A2)-COUNTA('INPUT DATA'!$L$11:$L$60)))),"")</f>
        <v/>
      </c>
    </row>
    <row r="3" ht="12.75" customHeight="1">
      <c r="A3" t="str">
        <f t="array" ref="A3">IFERROR(IF(ROWS($A$1:A3)&lt;=COUNTA('INPUT DATA'!$L$11:$L$60),INDEX('INPUT DATA'!$L$11:$L$60,_xludf.AGGREGATE(15,6,(ROW('INPUT DATA'!$L$11:$L$60)-ROW('INPUT DATA'!$L$11)+1)/('INPUT DATA'!$L$11:$L$60&lt;&gt;""),ROWS($A$1:A3))),INDEX('INPUT DATA'!$Q$11:$Q$60,_xludf.AGGREGATE(15,6,(ROW('INPUT DATA'!$Q$11:$Q$60)-ROW('INPUT DATA'!$Q$11)+1)/('INPUT DATA'!$Q$11:$Q$60&lt;&gt;""),ROWS($A$1:A3)-COUNTA('INPUT DATA'!$L$11:$L$60)))),"")</f>
        <v/>
      </c>
    </row>
    <row r="4" ht="12.75" customHeight="1">
      <c r="A4" t="str">
        <f t="array" ref="A4">IFERROR(IF(ROWS($A$1:A4)&lt;=COUNTA('INPUT DATA'!$L$11:$L$60),INDEX('INPUT DATA'!$L$11:$L$60,_xludf.AGGREGATE(15,6,(ROW('INPUT DATA'!$L$11:$L$60)-ROW('INPUT DATA'!$L$11)+1)/('INPUT DATA'!$L$11:$L$60&lt;&gt;""),ROWS($A$1:A4))),INDEX('INPUT DATA'!$Q$11:$Q$60,_xludf.AGGREGATE(15,6,(ROW('INPUT DATA'!$Q$11:$Q$60)-ROW('INPUT DATA'!$Q$11)+1)/('INPUT DATA'!$Q$11:$Q$60&lt;&gt;""),ROWS($A$1:A4)-COUNTA('INPUT DATA'!$L$11:$L$60)))),"")</f>
        <v/>
      </c>
    </row>
    <row r="5" ht="12.75" customHeight="1">
      <c r="A5" t="str">
        <f t="array" ref="A5">IFERROR(IF(ROWS($A$1:A5)&lt;=COUNTA('INPUT DATA'!$L$11:$L$60),INDEX('INPUT DATA'!$L$11:$L$60,_xludf.AGGREGATE(15,6,(ROW('INPUT DATA'!$L$11:$L$60)-ROW('INPUT DATA'!$L$11)+1)/('INPUT DATA'!$L$11:$L$60&lt;&gt;""),ROWS($A$1:A5))),INDEX('INPUT DATA'!$Q$11:$Q$60,_xludf.AGGREGATE(15,6,(ROW('INPUT DATA'!$Q$11:$Q$60)-ROW('INPUT DATA'!$Q$11)+1)/('INPUT DATA'!$Q$11:$Q$60&lt;&gt;""),ROWS($A$1:A5)-COUNTA('INPUT DATA'!$L$11:$L$60)))),"")</f>
        <v/>
      </c>
    </row>
    <row r="6" ht="12.75" customHeight="1">
      <c r="A6" t="str">
        <f t="array" ref="A6">IFERROR(IF(ROWS($A$1:A6)&lt;=COUNTA('INPUT DATA'!$L$11:$L$60),INDEX('INPUT DATA'!$L$11:$L$60,_xludf.AGGREGATE(15,6,(ROW('INPUT DATA'!$L$11:$L$60)-ROW('INPUT DATA'!$L$11)+1)/('INPUT DATA'!$L$11:$L$60&lt;&gt;""),ROWS($A$1:A6))),INDEX('INPUT DATA'!$Q$11:$Q$60,_xludf.AGGREGATE(15,6,(ROW('INPUT DATA'!$Q$11:$Q$60)-ROW('INPUT DATA'!$Q$11)+1)/('INPUT DATA'!$Q$11:$Q$60&lt;&gt;""),ROWS($A$1:A6)-COUNTA('INPUT DATA'!$L$11:$L$60)))),"")</f>
        <v/>
      </c>
    </row>
    <row r="7" ht="12.75" customHeight="1">
      <c r="A7" t="str">
        <f t="array" ref="A7">IFERROR(IF(ROWS($A$1:A7)&lt;=COUNTA('INPUT DATA'!$L$11:$L$60),INDEX('INPUT DATA'!$L$11:$L$60,_xludf.AGGREGATE(15,6,(ROW('INPUT DATA'!$L$11:$L$60)-ROW('INPUT DATA'!$L$11)+1)/('INPUT DATA'!$L$11:$L$60&lt;&gt;""),ROWS($A$1:A7))),INDEX('INPUT DATA'!$Q$11:$Q$60,_xludf.AGGREGATE(15,6,(ROW('INPUT DATA'!$Q$11:$Q$60)-ROW('INPUT DATA'!$Q$11)+1)/('INPUT DATA'!$Q$11:$Q$60&lt;&gt;""),ROWS($A$1:A7)-COUNTA('INPUT DATA'!$L$11:$L$60)))),"")</f>
        <v/>
      </c>
    </row>
    <row r="8" ht="12.75" customHeight="1">
      <c r="A8" t="str">
        <f t="array" ref="A8">IFERROR(IF(ROWS($A$1:A8)&lt;=COUNTA('INPUT DATA'!$L$11:$L$60),INDEX('INPUT DATA'!$L$11:$L$60,_xludf.AGGREGATE(15,6,(ROW('INPUT DATA'!$L$11:$L$60)-ROW('INPUT DATA'!$L$11)+1)/('INPUT DATA'!$L$11:$L$60&lt;&gt;""),ROWS($A$1:A8))),INDEX('INPUT DATA'!$Q$11:$Q$60,_xludf.AGGREGATE(15,6,(ROW('INPUT DATA'!$Q$11:$Q$60)-ROW('INPUT DATA'!$Q$11)+1)/('INPUT DATA'!$Q$11:$Q$60&lt;&gt;""),ROWS($A$1:A8)-COUNTA('INPUT DATA'!$L$11:$L$60)))),"")</f>
        <v/>
      </c>
    </row>
    <row r="9" ht="12.75" customHeight="1">
      <c r="A9" t="str">
        <f t="array" ref="A9">IFERROR(IF(ROWS($A$1:A9)&lt;=COUNTA('INPUT DATA'!$L$11:$L$60),INDEX('INPUT DATA'!$L$11:$L$60,_xludf.AGGREGATE(15,6,(ROW('INPUT DATA'!$L$11:$L$60)-ROW('INPUT DATA'!$L$11)+1)/('INPUT DATA'!$L$11:$L$60&lt;&gt;""),ROWS($A$1:A9))),INDEX('INPUT DATA'!$Q$11:$Q$60,_xludf.AGGREGATE(15,6,(ROW('INPUT DATA'!$Q$11:$Q$60)-ROW('INPUT DATA'!$Q$11)+1)/('INPUT DATA'!$Q$11:$Q$60&lt;&gt;""),ROWS($A$1:A9)-COUNTA('INPUT DATA'!$L$11:$L$60)))),"")</f>
        <v/>
      </c>
    </row>
    <row r="10" ht="12.75" customHeight="1">
      <c r="A10" t="str">
        <f t="array" ref="A10">IFERROR(IF(ROWS($A$1:A10)&lt;=COUNTA('INPUT DATA'!$L$11:$L$60),INDEX('INPUT DATA'!$L$11:$L$60,_xludf.AGGREGATE(15,6,(ROW('INPUT DATA'!$L$11:$L$60)-ROW('INPUT DATA'!$L$11)+1)/('INPUT DATA'!$L$11:$L$60&lt;&gt;""),ROWS($A$1:A10))),INDEX('INPUT DATA'!$Q$11:$Q$60,_xludf.AGGREGATE(15,6,(ROW('INPUT DATA'!$Q$11:$Q$60)-ROW('INPUT DATA'!$Q$11)+1)/('INPUT DATA'!$Q$11:$Q$60&lt;&gt;""),ROWS($A$1:A10)-COUNTA('INPUT DATA'!$L$11:$L$60)))),"")</f>
        <v/>
      </c>
    </row>
    <row r="11" ht="12.75" customHeight="1">
      <c r="A11" t="str">
        <f t="array" ref="A11">IFERROR(IF(ROWS($A$1:A11)&lt;=COUNTA('INPUT DATA'!$L$11:$L$60),INDEX('INPUT DATA'!$L$11:$L$60,_xludf.AGGREGATE(15,6,(ROW('INPUT DATA'!$L$11:$L$60)-ROW('INPUT DATA'!$L$11)+1)/('INPUT DATA'!$L$11:$L$60&lt;&gt;""),ROWS($A$1:A11))),INDEX('INPUT DATA'!$Q$11:$Q$60,_xludf.AGGREGATE(15,6,(ROW('INPUT DATA'!$Q$11:$Q$60)-ROW('INPUT DATA'!$Q$11)+1)/('INPUT DATA'!$Q$11:$Q$60&lt;&gt;""),ROWS($A$1:A11)-COUNTA('INPUT DATA'!$L$11:$L$60)))),"")</f>
        <v/>
      </c>
    </row>
    <row r="12" ht="12.75" customHeight="1">
      <c r="A12" t="str">
        <f t="array" ref="A12">IFERROR(IF(ROWS($A$1:A12)&lt;=COUNTA('INPUT DATA'!$L$11:$L$60),INDEX('INPUT DATA'!$L$11:$L$60,_xludf.AGGREGATE(15,6,(ROW('INPUT DATA'!$L$11:$L$60)-ROW('INPUT DATA'!$L$11)+1)/('INPUT DATA'!$L$11:$L$60&lt;&gt;""),ROWS($A$1:A12))),INDEX('INPUT DATA'!$Q$11:$Q$60,_xludf.AGGREGATE(15,6,(ROW('INPUT DATA'!$Q$11:$Q$60)-ROW('INPUT DATA'!$Q$11)+1)/('INPUT DATA'!$Q$11:$Q$60&lt;&gt;""),ROWS($A$1:A12)-COUNTA('INPUT DATA'!$L$11:$L$60)))),"")</f>
        <v/>
      </c>
    </row>
    <row r="13" ht="12.75" customHeight="1">
      <c r="A13" t="str">
        <f t="array" ref="A13">IFERROR(IF(ROWS($A$1:A13)&lt;=COUNTA('INPUT DATA'!$L$11:$L$60),INDEX('INPUT DATA'!$L$11:$L$60,_xludf.AGGREGATE(15,6,(ROW('INPUT DATA'!$L$11:$L$60)-ROW('INPUT DATA'!$L$11)+1)/('INPUT DATA'!$L$11:$L$60&lt;&gt;""),ROWS($A$1:A13))),INDEX('INPUT DATA'!$Q$11:$Q$60,_xludf.AGGREGATE(15,6,(ROW('INPUT DATA'!$Q$11:$Q$60)-ROW('INPUT DATA'!$Q$11)+1)/('INPUT DATA'!$Q$11:$Q$60&lt;&gt;""),ROWS($A$1:A13)-COUNTA('INPUT DATA'!$L$11:$L$60)))),"")</f>
        <v/>
      </c>
    </row>
    <row r="14" ht="12.75" customHeight="1">
      <c r="A14" t="str">
        <f t="array" ref="A14">IFERROR(IF(ROWS($A$1:A14)&lt;=COUNTA('INPUT DATA'!$L$11:$L$60),INDEX('INPUT DATA'!$L$11:$L$60,_xludf.AGGREGATE(15,6,(ROW('INPUT DATA'!$L$11:$L$60)-ROW('INPUT DATA'!$L$11)+1)/('INPUT DATA'!$L$11:$L$60&lt;&gt;""),ROWS($A$1:A14))),INDEX('INPUT DATA'!$Q$11:$Q$60,_xludf.AGGREGATE(15,6,(ROW('INPUT DATA'!$Q$11:$Q$60)-ROW('INPUT DATA'!$Q$11)+1)/('INPUT DATA'!$Q$11:$Q$60&lt;&gt;""),ROWS($A$1:A14)-COUNTA('INPUT DATA'!$L$11:$L$60)))),"")</f>
        <v/>
      </c>
    </row>
    <row r="15" ht="12.75" customHeight="1">
      <c r="A15" t="str">
        <f t="array" ref="A15">IFERROR(IF(ROWS($A$1:A15)&lt;=COUNTA('INPUT DATA'!$L$11:$L$60),INDEX('INPUT DATA'!$L$11:$L$60,_xludf.AGGREGATE(15,6,(ROW('INPUT DATA'!$L$11:$L$60)-ROW('INPUT DATA'!$L$11)+1)/('INPUT DATA'!$L$11:$L$60&lt;&gt;""),ROWS($A$1:A15))),INDEX('INPUT DATA'!$Q$11:$Q$60,_xludf.AGGREGATE(15,6,(ROW('INPUT DATA'!$Q$11:$Q$60)-ROW('INPUT DATA'!$Q$11)+1)/('INPUT DATA'!$Q$11:$Q$60&lt;&gt;""),ROWS($A$1:A15)-COUNTA('INPUT DATA'!$L$11:$L$60)))),"")</f>
        <v/>
      </c>
    </row>
    <row r="16" ht="12.75" customHeight="1">
      <c r="A16" t="str">
        <f t="array" ref="A16">IFERROR(IF(ROWS($A$1:A16)&lt;=COUNTA('INPUT DATA'!$L$11:$L$60),INDEX('INPUT DATA'!$L$11:$L$60,_xludf.AGGREGATE(15,6,(ROW('INPUT DATA'!$L$11:$L$60)-ROW('INPUT DATA'!$L$11)+1)/('INPUT DATA'!$L$11:$L$60&lt;&gt;""),ROWS($A$1:A16))),INDEX('INPUT DATA'!$Q$11:$Q$60,_xludf.AGGREGATE(15,6,(ROW('INPUT DATA'!$Q$11:$Q$60)-ROW('INPUT DATA'!$Q$11)+1)/('INPUT DATA'!$Q$11:$Q$60&lt;&gt;""),ROWS($A$1:A16)-COUNTA('INPUT DATA'!$L$11:$L$60)))),"")</f>
        <v/>
      </c>
    </row>
    <row r="17" ht="12.75" customHeight="1">
      <c r="A17" t="str">
        <f t="array" ref="A17">IFERROR(IF(ROWS($A$1:A17)&lt;=COUNTA('INPUT DATA'!$L$11:$L$60),INDEX('INPUT DATA'!$L$11:$L$60,_xludf.AGGREGATE(15,6,(ROW('INPUT DATA'!$L$11:$L$60)-ROW('INPUT DATA'!$L$11)+1)/('INPUT DATA'!$L$11:$L$60&lt;&gt;""),ROWS($A$1:A17))),INDEX('INPUT DATA'!$Q$11:$Q$60,_xludf.AGGREGATE(15,6,(ROW('INPUT DATA'!$Q$11:$Q$60)-ROW('INPUT DATA'!$Q$11)+1)/('INPUT DATA'!$Q$11:$Q$60&lt;&gt;""),ROWS($A$1:A17)-COUNTA('INPUT DATA'!$L$11:$L$60)))),"")</f>
        <v/>
      </c>
    </row>
    <row r="18" ht="12.75" customHeight="1">
      <c r="A18" t="str">
        <f t="array" ref="A18">IFERROR(IF(ROWS($A$1:A18)&lt;=COUNTA('INPUT DATA'!$L$11:$L$60),INDEX('INPUT DATA'!$L$11:$L$60,_xludf.AGGREGATE(15,6,(ROW('INPUT DATA'!$L$11:$L$60)-ROW('INPUT DATA'!$L$11)+1)/('INPUT DATA'!$L$11:$L$60&lt;&gt;""),ROWS($A$1:A18))),INDEX('INPUT DATA'!$Q$11:$Q$60,_xludf.AGGREGATE(15,6,(ROW('INPUT DATA'!$Q$11:$Q$60)-ROW('INPUT DATA'!$Q$11)+1)/('INPUT DATA'!$Q$11:$Q$60&lt;&gt;""),ROWS($A$1:A18)-COUNTA('INPUT DATA'!$L$11:$L$60)))),"")</f>
        <v/>
      </c>
    </row>
    <row r="19" ht="12.75" customHeight="1">
      <c r="A19" t="str">
        <f t="array" ref="A19">IFERROR(IF(ROWS($A$1:A19)&lt;=COUNTA('INPUT DATA'!$L$11:$L$60),INDEX('INPUT DATA'!$L$11:$L$60,_xludf.AGGREGATE(15,6,(ROW('INPUT DATA'!$L$11:$L$60)-ROW('INPUT DATA'!$L$11)+1)/('INPUT DATA'!$L$11:$L$60&lt;&gt;""),ROWS($A$1:A19))),INDEX('INPUT DATA'!$Q$11:$Q$60,_xludf.AGGREGATE(15,6,(ROW('INPUT DATA'!$Q$11:$Q$60)-ROW('INPUT DATA'!$Q$11)+1)/('INPUT DATA'!$Q$11:$Q$60&lt;&gt;""),ROWS($A$1:A19)-COUNTA('INPUT DATA'!$L$11:$L$60)))),"")</f>
        <v/>
      </c>
    </row>
    <row r="20" ht="12.75" customHeight="1">
      <c r="A20" t="str">
        <f t="array" ref="A20">IFERROR(IF(ROWS($A$1:A20)&lt;=COUNTA('INPUT DATA'!$L$11:$L$60),INDEX('INPUT DATA'!$L$11:$L$60,_xludf.AGGREGATE(15,6,(ROW('INPUT DATA'!$L$11:$L$60)-ROW('INPUT DATA'!$L$11)+1)/('INPUT DATA'!$L$11:$L$60&lt;&gt;""),ROWS($A$1:A20))),INDEX('INPUT DATA'!$Q$11:$Q$60,_xludf.AGGREGATE(15,6,(ROW('INPUT DATA'!$Q$11:$Q$60)-ROW('INPUT DATA'!$Q$11)+1)/('INPUT DATA'!$Q$11:$Q$60&lt;&gt;""),ROWS($A$1:A20)-COUNTA('INPUT DATA'!$L$11:$L$60)))),"")</f>
        <v/>
      </c>
    </row>
    <row r="21" ht="12.75" customHeight="1">
      <c r="A21" t="str">
        <f t="array" ref="A21">IFERROR(IF(ROWS($A$1:A21)&lt;=COUNTA('INPUT DATA'!$L$11:$L$60),INDEX('INPUT DATA'!$L$11:$L$60,_xludf.AGGREGATE(15,6,(ROW('INPUT DATA'!$L$11:$L$60)-ROW('INPUT DATA'!$L$11)+1)/('INPUT DATA'!$L$11:$L$60&lt;&gt;""),ROWS($A$1:A21))),INDEX('INPUT DATA'!$Q$11:$Q$60,_xludf.AGGREGATE(15,6,(ROW('INPUT DATA'!$Q$11:$Q$60)-ROW('INPUT DATA'!$Q$11)+1)/('INPUT DATA'!$Q$11:$Q$60&lt;&gt;""),ROWS($A$1:A21)-COUNTA('INPUT DATA'!$L$11:$L$60)))),"")</f>
        <v/>
      </c>
    </row>
    <row r="22" ht="12.75" customHeight="1">
      <c r="A22" t="str">
        <f t="array" ref="A22">IFERROR(IF(ROWS($A$1:A22)&lt;=COUNTA('INPUT DATA'!$L$11:$L$60),INDEX('INPUT DATA'!$L$11:$L$60,_xludf.AGGREGATE(15,6,(ROW('INPUT DATA'!$L$11:$L$60)-ROW('INPUT DATA'!$L$11)+1)/('INPUT DATA'!$L$11:$L$60&lt;&gt;""),ROWS($A$1:A22))),INDEX('INPUT DATA'!$Q$11:$Q$60,_xludf.AGGREGATE(15,6,(ROW('INPUT DATA'!$Q$11:$Q$60)-ROW('INPUT DATA'!$Q$11)+1)/('INPUT DATA'!$Q$11:$Q$60&lt;&gt;""),ROWS($A$1:A22)-COUNTA('INPUT DATA'!$L$11:$L$60)))),"")</f>
        <v/>
      </c>
    </row>
    <row r="23" ht="12.75" customHeight="1">
      <c r="A23" t="str">
        <f t="array" ref="A23">IFERROR(IF(ROWS($A$1:A23)&lt;=COUNTA('INPUT DATA'!$L$11:$L$60),INDEX('INPUT DATA'!$L$11:$L$60,_xludf.AGGREGATE(15,6,(ROW('INPUT DATA'!$L$11:$L$60)-ROW('INPUT DATA'!$L$11)+1)/('INPUT DATA'!$L$11:$L$60&lt;&gt;""),ROWS($A$1:A23))),INDEX('INPUT DATA'!$Q$11:$Q$60,_xludf.AGGREGATE(15,6,(ROW('INPUT DATA'!$Q$11:$Q$60)-ROW('INPUT DATA'!$Q$11)+1)/('INPUT DATA'!$Q$11:$Q$60&lt;&gt;""),ROWS($A$1:A23)-COUNTA('INPUT DATA'!$L$11:$L$60)))),"")</f>
        <v/>
      </c>
    </row>
    <row r="24" ht="12.75" customHeight="1">
      <c r="A24" t="str">
        <f t="array" ref="A24">IFERROR(IF(ROWS($A$1:A24)&lt;=COUNTA('INPUT DATA'!$L$11:$L$60),INDEX('INPUT DATA'!$L$11:$L$60,_xludf.AGGREGATE(15,6,(ROW('INPUT DATA'!$L$11:$L$60)-ROW('INPUT DATA'!$L$11)+1)/('INPUT DATA'!$L$11:$L$60&lt;&gt;""),ROWS($A$1:A24))),INDEX('INPUT DATA'!$Q$11:$Q$60,_xludf.AGGREGATE(15,6,(ROW('INPUT DATA'!$Q$11:$Q$60)-ROW('INPUT DATA'!$Q$11)+1)/('INPUT DATA'!$Q$11:$Q$60&lt;&gt;""),ROWS($A$1:A24)-COUNTA('INPUT DATA'!$L$11:$L$60)))),"")</f>
        <v/>
      </c>
    </row>
    <row r="25" ht="12.75" customHeight="1">
      <c r="A25" t="str">
        <f t="array" ref="A25">IFERROR(IF(ROWS($A$1:A25)&lt;=COUNTA('INPUT DATA'!$L$11:$L$60),INDEX('INPUT DATA'!$L$11:$L$60,_xludf.AGGREGATE(15,6,(ROW('INPUT DATA'!$L$11:$L$60)-ROW('INPUT DATA'!$L$11)+1)/('INPUT DATA'!$L$11:$L$60&lt;&gt;""),ROWS($A$1:A25))),INDEX('INPUT DATA'!$Q$11:$Q$60,_xludf.AGGREGATE(15,6,(ROW('INPUT DATA'!$Q$11:$Q$60)-ROW('INPUT DATA'!$Q$11)+1)/('INPUT DATA'!$Q$11:$Q$60&lt;&gt;""),ROWS($A$1:A25)-COUNTA('INPUT DATA'!$L$11:$L$60)))),"")</f>
        <v/>
      </c>
    </row>
    <row r="26" ht="12.75" customHeight="1">
      <c r="A26" t="str">
        <f t="array" ref="A26">IFERROR(IF(ROWS($A$1:A26)&lt;=COUNTA('INPUT DATA'!$L$11:$L$60),INDEX('INPUT DATA'!$L$11:$L$60,_xludf.AGGREGATE(15,6,(ROW('INPUT DATA'!$L$11:$L$60)-ROW('INPUT DATA'!$L$11)+1)/('INPUT DATA'!$L$11:$L$60&lt;&gt;""),ROWS($A$1:A26))),INDEX('INPUT DATA'!$Q$11:$Q$60,_xludf.AGGREGATE(15,6,(ROW('INPUT DATA'!$Q$11:$Q$60)-ROW('INPUT DATA'!$Q$11)+1)/('INPUT DATA'!$Q$11:$Q$60&lt;&gt;""),ROWS($A$1:A26)-COUNTA('INPUT DATA'!$L$11:$L$60)))),"")</f>
        <v/>
      </c>
    </row>
    <row r="27" ht="12.75" customHeight="1">
      <c r="A27" t="str">
        <f t="array" ref="A27">IFERROR(IF(ROWS($A$1:A27)&lt;=COUNTA('INPUT DATA'!$L$11:$L$60),INDEX('INPUT DATA'!$L$11:$L$60,_xludf.AGGREGATE(15,6,(ROW('INPUT DATA'!$L$11:$L$60)-ROW('INPUT DATA'!$L$11)+1)/('INPUT DATA'!$L$11:$L$60&lt;&gt;""),ROWS($A$1:A27))),INDEX('INPUT DATA'!$Q$11:$Q$60,_xludf.AGGREGATE(15,6,(ROW('INPUT DATA'!$Q$11:$Q$60)-ROW('INPUT DATA'!$Q$11)+1)/('INPUT DATA'!$Q$11:$Q$60&lt;&gt;""),ROWS($A$1:A27)-COUNTA('INPUT DATA'!$L$11:$L$60)))),"")</f>
        <v/>
      </c>
    </row>
    <row r="28" ht="12.75" customHeight="1">
      <c r="A28" t="str">
        <f t="array" ref="A28">IFERROR(IF(ROWS($A$1:A28)&lt;=COUNTA('INPUT DATA'!$L$11:$L$60),INDEX('INPUT DATA'!$L$11:$L$60,_xludf.AGGREGATE(15,6,(ROW('INPUT DATA'!$L$11:$L$60)-ROW('INPUT DATA'!$L$11)+1)/('INPUT DATA'!$L$11:$L$60&lt;&gt;""),ROWS($A$1:A28))),INDEX('INPUT DATA'!$Q$11:$Q$60,_xludf.AGGREGATE(15,6,(ROW('INPUT DATA'!$Q$11:$Q$60)-ROW('INPUT DATA'!$Q$11)+1)/('INPUT DATA'!$Q$11:$Q$60&lt;&gt;""),ROWS($A$1:A28)-COUNTA('INPUT DATA'!$L$11:$L$60)))),"")</f>
        <v/>
      </c>
    </row>
    <row r="29" ht="12.75" customHeight="1">
      <c r="A29" t="str">
        <f t="array" ref="A29">IFERROR(IF(ROWS($A$1:A29)&lt;=COUNTA('INPUT DATA'!$L$11:$L$60),INDEX('INPUT DATA'!$L$11:$L$60,_xludf.AGGREGATE(15,6,(ROW('INPUT DATA'!$L$11:$L$60)-ROW('INPUT DATA'!$L$11)+1)/('INPUT DATA'!$L$11:$L$60&lt;&gt;""),ROWS($A$1:A29))),INDEX('INPUT DATA'!$Q$11:$Q$60,_xludf.AGGREGATE(15,6,(ROW('INPUT DATA'!$Q$11:$Q$60)-ROW('INPUT DATA'!$Q$11)+1)/('INPUT DATA'!$Q$11:$Q$60&lt;&gt;""),ROWS($A$1:A29)-COUNTA('INPUT DATA'!$L$11:$L$60)))),"")</f>
        <v/>
      </c>
    </row>
    <row r="30" ht="12.75" customHeight="1">
      <c r="A30" t="str">
        <f t="array" ref="A30">IFERROR(IF(ROWS($A$1:A30)&lt;=COUNTA('INPUT DATA'!$L$11:$L$60),INDEX('INPUT DATA'!$L$11:$L$60,_xludf.AGGREGATE(15,6,(ROW('INPUT DATA'!$L$11:$L$60)-ROW('INPUT DATA'!$L$11)+1)/('INPUT DATA'!$L$11:$L$60&lt;&gt;""),ROWS($A$1:A30))),INDEX('INPUT DATA'!$Q$11:$Q$60,_xludf.AGGREGATE(15,6,(ROW('INPUT DATA'!$Q$11:$Q$60)-ROW('INPUT DATA'!$Q$11)+1)/('INPUT DATA'!$Q$11:$Q$60&lt;&gt;""),ROWS($A$1:A30)-COUNTA('INPUT DATA'!$L$11:$L$60)))),"")</f>
        <v/>
      </c>
    </row>
    <row r="31" ht="12.75" customHeight="1">
      <c r="A31" t="str">
        <f t="array" ref="A31">IFERROR(IF(ROWS($A$1:A31)&lt;=COUNTA('INPUT DATA'!$L$11:$L$60),INDEX('INPUT DATA'!$L$11:$L$60,_xludf.AGGREGATE(15,6,(ROW('INPUT DATA'!$L$11:$L$60)-ROW('INPUT DATA'!$L$11)+1)/('INPUT DATA'!$L$11:$L$60&lt;&gt;""),ROWS($A$1:A31))),INDEX('INPUT DATA'!$Q$11:$Q$60,_xludf.AGGREGATE(15,6,(ROW('INPUT DATA'!$Q$11:$Q$60)-ROW('INPUT DATA'!$Q$11)+1)/('INPUT DATA'!$Q$11:$Q$60&lt;&gt;""),ROWS($A$1:A31)-COUNTA('INPUT DATA'!$L$11:$L$60)))),"")</f>
        <v/>
      </c>
    </row>
    <row r="32" ht="12.75" customHeight="1">
      <c r="A32" t="str">
        <f t="array" ref="A32">IFERROR(IF(ROWS($A$1:A32)&lt;=COUNTA('INPUT DATA'!$L$11:$L$60),INDEX('INPUT DATA'!$L$11:$L$60,_xludf.AGGREGATE(15,6,(ROW('INPUT DATA'!$L$11:$L$60)-ROW('INPUT DATA'!$L$11)+1)/('INPUT DATA'!$L$11:$L$60&lt;&gt;""),ROWS($A$1:A32))),INDEX('INPUT DATA'!$Q$11:$Q$60,_xludf.AGGREGATE(15,6,(ROW('INPUT DATA'!$Q$11:$Q$60)-ROW('INPUT DATA'!$Q$11)+1)/('INPUT DATA'!$Q$11:$Q$60&lt;&gt;""),ROWS($A$1:A32)-COUNTA('INPUT DATA'!$L$11:$L$60)))),"")</f>
        <v/>
      </c>
    </row>
    <row r="33" ht="12.75" customHeight="1">
      <c r="A33" t="str">
        <f t="array" ref="A33">IFERROR(IF(ROWS($A$1:A33)&lt;=COUNTA('INPUT DATA'!$L$11:$L$60),INDEX('INPUT DATA'!$L$11:$L$60,_xludf.AGGREGATE(15,6,(ROW('INPUT DATA'!$L$11:$L$60)-ROW('INPUT DATA'!$L$11)+1)/('INPUT DATA'!$L$11:$L$60&lt;&gt;""),ROWS($A$1:A33))),INDEX('INPUT DATA'!$Q$11:$Q$60,_xludf.AGGREGATE(15,6,(ROW('INPUT DATA'!$Q$11:$Q$60)-ROW('INPUT DATA'!$Q$11)+1)/('INPUT DATA'!$Q$11:$Q$60&lt;&gt;""),ROWS($A$1:A33)-COUNTA('INPUT DATA'!$L$11:$L$60)))),"")</f>
        <v/>
      </c>
    </row>
    <row r="34" ht="12.75" customHeight="1">
      <c r="A34" t="str">
        <f t="array" ref="A34">IFERROR(IF(ROWS($A$1:A34)&lt;=COUNTA('INPUT DATA'!$L$11:$L$60),INDEX('INPUT DATA'!$L$11:$L$60,_xludf.AGGREGATE(15,6,(ROW('INPUT DATA'!$L$11:$L$60)-ROW('INPUT DATA'!$L$11)+1)/('INPUT DATA'!$L$11:$L$60&lt;&gt;""),ROWS($A$1:A34))),INDEX('INPUT DATA'!$Q$11:$Q$60,_xludf.AGGREGATE(15,6,(ROW('INPUT DATA'!$Q$11:$Q$60)-ROW('INPUT DATA'!$Q$11)+1)/('INPUT DATA'!$Q$11:$Q$60&lt;&gt;""),ROWS($A$1:A34)-COUNTA('INPUT DATA'!$L$11:$L$60)))),"")</f>
        <v/>
      </c>
    </row>
    <row r="35" ht="12.75" customHeight="1">
      <c r="A35" t="str">
        <f t="array" ref="A35">IFERROR(IF(ROWS($A$1:A35)&lt;=COUNTA('INPUT DATA'!$L$11:$L$60),INDEX('INPUT DATA'!$L$11:$L$60,_xludf.AGGREGATE(15,6,(ROW('INPUT DATA'!$L$11:$L$60)-ROW('INPUT DATA'!$L$11)+1)/('INPUT DATA'!$L$11:$L$60&lt;&gt;""),ROWS($A$1:A35))),INDEX('INPUT DATA'!$Q$11:$Q$60,_xludf.AGGREGATE(15,6,(ROW('INPUT DATA'!$Q$11:$Q$60)-ROW('INPUT DATA'!$Q$11)+1)/('INPUT DATA'!$Q$11:$Q$60&lt;&gt;""),ROWS($A$1:A35)-COUNTA('INPUT DATA'!$L$11:$L$60)))),"")</f>
        <v/>
      </c>
    </row>
    <row r="36" ht="12.75" customHeight="1">
      <c r="A36" t="str">
        <f t="array" ref="A36">IFERROR(IF(ROWS($A$1:A36)&lt;=COUNTA('INPUT DATA'!$L$11:$L$60),INDEX('INPUT DATA'!$L$11:$L$60,_xludf.AGGREGATE(15,6,(ROW('INPUT DATA'!$L$11:$L$60)-ROW('INPUT DATA'!$L$11)+1)/('INPUT DATA'!$L$11:$L$60&lt;&gt;""),ROWS($A$1:A36))),INDEX('INPUT DATA'!$Q$11:$Q$60,_xludf.AGGREGATE(15,6,(ROW('INPUT DATA'!$Q$11:$Q$60)-ROW('INPUT DATA'!$Q$11)+1)/('INPUT DATA'!$Q$11:$Q$60&lt;&gt;""),ROWS($A$1:A36)-COUNTA('INPUT DATA'!$L$11:$L$60)))),"")</f>
        <v/>
      </c>
    </row>
    <row r="37" ht="12.75" customHeight="1">
      <c r="A37" t="str">
        <f t="array" ref="A37">IFERROR(IF(ROWS($A$1:A37)&lt;=COUNTA('INPUT DATA'!$L$11:$L$60),INDEX('INPUT DATA'!$L$11:$L$60,_xludf.AGGREGATE(15,6,(ROW('INPUT DATA'!$L$11:$L$60)-ROW('INPUT DATA'!$L$11)+1)/('INPUT DATA'!$L$11:$L$60&lt;&gt;""),ROWS($A$1:A37))),INDEX('INPUT DATA'!$Q$11:$Q$60,_xludf.AGGREGATE(15,6,(ROW('INPUT DATA'!$Q$11:$Q$60)-ROW('INPUT DATA'!$Q$11)+1)/('INPUT DATA'!$Q$11:$Q$60&lt;&gt;""),ROWS($A$1:A37)-COUNTA('INPUT DATA'!$L$11:$L$60)))),"")</f>
        <v/>
      </c>
    </row>
    <row r="38" ht="12.75" customHeight="1">
      <c r="A38" t="str">
        <f t="array" ref="A38">IFERROR(IF(ROWS($A$1:A38)&lt;=COUNTA('INPUT DATA'!$L$11:$L$60),INDEX('INPUT DATA'!$L$11:$L$60,_xludf.AGGREGATE(15,6,(ROW('INPUT DATA'!$L$11:$L$60)-ROW('INPUT DATA'!$L$11)+1)/('INPUT DATA'!$L$11:$L$60&lt;&gt;""),ROWS($A$1:A38))),INDEX('INPUT DATA'!$Q$11:$Q$60,_xludf.AGGREGATE(15,6,(ROW('INPUT DATA'!$Q$11:$Q$60)-ROW('INPUT DATA'!$Q$11)+1)/('INPUT DATA'!$Q$11:$Q$60&lt;&gt;""),ROWS($A$1:A38)-COUNTA('INPUT DATA'!$L$11:$L$60)))),"")</f>
        <v/>
      </c>
    </row>
    <row r="39" ht="12.75" customHeight="1">
      <c r="A39" t="str">
        <f t="array" ref="A39">IFERROR(IF(ROWS($A$1:A39)&lt;=COUNTA('INPUT DATA'!$L$11:$L$60),INDEX('INPUT DATA'!$L$11:$L$60,_xludf.AGGREGATE(15,6,(ROW('INPUT DATA'!$L$11:$L$60)-ROW('INPUT DATA'!$L$11)+1)/('INPUT DATA'!$L$11:$L$60&lt;&gt;""),ROWS($A$1:A39))),INDEX('INPUT DATA'!$Q$11:$Q$60,_xludf.AGGREGATE(15,6,(ROW('INPUT DATA'!$Q$11:$Q$60)-ROW('INPUT DATA'!$Q$11)+1)/('INPUT DATA'!$Q$11:$Q$60&lt;&gt;""),ROWS($A$1:A39)-COUNTA('INPUT DATA'!$L$11:$L$60)))),"")</f>
        <v/>
      </c>
    </row>
    <row r="40" ht="12.75" customHeight="1">
      <c r="A40" t="str">
        <f t="array" ref="A40">IFERROR(IF(ROWS($A$1:A40)&lt;=COUNTA('INPUT DATA'!$L$11:$L$60),INDEX('INPUT DATA'!$L$11:$L$60,_xludf.AGGREGATE(15,6,(ROW('INPUT DATA'!$L$11:$L$60)-ROW('INPUT DATA'!$L$11)+1)/('INPUT DATA'!$L$11:$L$60&lt;&gt;""),ROWS($A$1:A40))),INDEX('INPUT DATA'!$Q$11:$Q$60,_xludf.AGGREGATE(15,6,(ROW('INPUT DATA'!$Q$11:$Q$60)-ROW('INPUT DATA'!$Q$11)+1)/('INPUT DATA'!$Q$11:$Q$60&lt;&gt;""),ROWS($A$1:A40)-COUNTA('INPUT DATA'!$L$11:$L$60)))),"")</f>
        <v/>
      </c>
    </row>
    <row r="41" ht="12.75" customHeight="1">
      <c r="A41" t="str">
        <f t="array" ref="A41">IFERROR(IF(ROWS($A$1:A41)&lt;=COUNTA('INPUT DATA'!$L$11:$L$60),INDEX('INPUT DATA'!$L$11:$L$60,_xludf.AGGREGATE(15,6,(ROW('INPUT DATA'!$L$11:$L$60)-ROW('INPUT DATA'!$L$11)+1)/('INPUT DATA'!$L$11:$L$60&lt;&gt;""),ROWS($A$1:A41))),INDEX('INPUT DATA'!$Q$11:$Q$60,_xludf.AGGREGATE(15,6,(ROW('INPUT DATA'!$Q$11:$Q$60)-ROW('INPUT DATA'!$Q$11)+1)/('INPUT DATA'!$Q$11:$Q$60&lt;&gt;""),ROWS($A$1:A41)-COUNTA('INPUT DATA'!$L$11:$L$60)))),"")</f>
        <v/>
      </c>
    </row>
    <row r="42" ht="12.75" customHeight="1">
      <c r="A42" t="str">
        <f t="array" ref="A42">IFERROR(IF(ROWS($A$1:A42)&lt;=COUNTA('INPUT DATA'!$L$11:$L$60),INDEX('INPUT DATA'!$L$11:$L$60,_xludf.AGGREGATE(15,6,(ROW('INPUT DATA'!$L$11:$L$60)-ROW('INPUT DATA'!$L$11)+1)/('INPUT DATA'!$L$11:$L$60&lt;&gt;""),ROWS($A$1:A42))),INDEX('INPUT DATA'!$Q$11:$Q$60,_xludf.AGGREGATE(15,6,(ROW('INPUT DATA'!$Q$11:$Q$60)-ROW('INPUT DATA'!$Q$11)+1)/('INPUT DATA'!$Q$11:$Q$60&lt;&gt;""),ROWS($A$1:A42)-COUNTA('INPUT DATA'!$L$11:$L$60)))),"")</f>
        <v/>
      </c>
    </row>
    <row r="43" ht="12.75" customHeight="1">
      <c r="A43" t="str">
        <f t="array" ref="A43">IFERROR(IF(ROWS($A$1:A43)&lt;=COUNTA('INPUT DATA'!$L$11:$L$60),INDEX('INPUT DATA'!$L$11:$L$60,_xludf.AGGREGATE(15,6,(ROW('INPUT DATA'!$L$11:$L$60)-ROW('INPUT DATA'!$L$11)+1)/('INPUT DATA'!$L$11:$L$60&lt;&gt;""),ROWS($A$1:A43))),INDEX('INPUT DATA'!$Q$11:$Q$60,_xludf.AGGREGATE(15,6,(ROW('INPUT DATA'!$Q$11:$Q$60)-ROW('INPUT DATA'!$Q$11)+1)/('INPUT DATA'!$Q$11:$Q$60&lt;&gt;""),ROWS($A$1:A43)-COUNTA('INPUT DATA'!$L$11:$L$60)))),"")</f>
        <v/>
      </c>
    </row>
    <row r="44" ht="12.75" customHeight="1">
      <c r="A44" t="str">
        <f t="array" ref="A44">IFERROR(IF(ROWS($A$1:A44)&lt;=COUNTA('INPUT DATA'!$L$11:$L$60),INDEX('INPUT DATA'!$L$11:$L$60,_xludf.AGGREGATE(15,6,(ROW('INPUT DATA'!$L$11:$L$60)-ROW('INPUT DATA'!$L$11)+1)/('INPUT DATA'!$L$11:$L$60&lt;&gt;""),ROWS($A$1:A44))),INDEX('INPUT DATA'!$Q$11:$Q$60,_xludf.AGGREGATE(15,6,(ROW('INPUT DATA'!$Q$11:$Q$60)-ROW('INPUT DATA'!$Q$11)+1)/('INPUT DATA'!$Q$11:$Q$60&lt;&gt;""),ROWS($A$1:A44)-COUNTA('INPUT DATA'!$L$11:$L$60)))),"")</f>
        <v/>
      </c>
    </row>
    <row r="45" ht="12.75" customHeight="1">
      <c r="A45" t="str">
        <f t="array" ref="A45">IFERROR(IF(ROWS($A$1:A45)&lt;=COUNTA('INPUT DATA'!$L$11:$L$60),INDEX('INPUT DATA'!$L$11:$L$60,_xludf.AGGREGATE(15,6,(ROW('INPUT DATA'!$L$11:$L$60)-ROW('INPUT DATA'!$L$11)+1)/('INPUT DATA'!$L$11:$L$60&lt;&gt;""),ROWS($A$1:A45))),INDEX('INPUT DATA'!$Q$11:$Q$60,_xludf.AGGREGATE(15,6,(ROW('INPUT DATA'!$Q$11:$Q$60)-ROW('INPUT DATA'!$Q$11)+1)/('INPUT DATA'!$Q$11:$Q$60&lt;&gt;""),ROWS($A$1:A45)-COUNTA('INPUT DATA'!$L$11:$L$60)))),"")</f>
        <v/>
      </c>
    </row>
    <row r="46" ht="12.75" customHeight="1">
      <c r="A46" t="str">
        <f t="array" ref="A46">IFERROR(IF(ROWS($A$1:A46)&lt;=COUNTA('INPUT DATA'!$L$11:$L$60),INDEX('INPUT DATA'!$L$11:$L$60,_xludf.AGGREGATE(15,6,(ROW('INPUT DATA'!$L$11:$L$60)-ROW('INPUT DATA'!$L$11)+1)/('INPUT DATA'!$L$11:$L$60&lt;&gt;""),ROWS($A$1:A46))),INDEX('INPUT DATA'!$Q$11:$Q$60,_xludf.AGGREGATE(15,6,(ROW('INPUT DATA'!$Q$11:$Q$60)-ROW('INPUT DATA'!$Q$11)+1)/('INPUT DATA'!$Q$11:$Q$60&lt;&gt;""),ROWS($A$1:A46)-COUNTA('INPUT DATA'!$L$11:$L$60)))),"")</f>
        <v/>
      </c>
    </row>
    <row r="47" ht="12.75" customHeight="1">
      <c r="A47" t="str">
        <f t="array" ref="A47">IFERROR(IF(ROWS($A$1:A47)&lt;=COUNTA('INPUT DATA'!$L$11:$L$60),INDEX('INPUT DATA'!$L$11:$L$60,_xludf.AGGREGATE(15,6,(ROW('INPUT DATA'!$L$11:$L$60)-ROW('INPUT DATA'!$L$11)+1)/('INPUT DATA'!$L$11:$L$60&lt;&gt;""),ROWS($A$1:A47))),INDEX('INPUT DATA'!$Q$11:$Q$60,_xludf.AGGREGATE(15,6,(ROW('INPUT DATA'!$Q$11:$Q$60)-ROW('INPUT DATA'!$Q$11)+1)/('INPUT DATA'!$Q$11:$Q$60&lt;&gt;""),ROWS($A$1:A47)-COUNTA('INPUT DATA'!$L$11:$L$60)))),"")</f>
        <v/>
      </c>
    </row>
    <row r="48" ht="12.75" customHeight="1">
      <c r="A48" t="str">
        <f t="array" ref="A48">IFERROR(IF(ROWS($A$1:A48)&lt;=COUNTA('INPUT DATA'!$L$11:$L$60),INDEX('INPUT DATA'!$L$11:$L$60,_xludf.AGGREGATE(15,6,(ROW('INPUT DATA'!$L$11:$L$60)-ROW('INPUT DATA'!$L$11)+1)/('INPUT DATA'!$L$11:$L$60&lt;&gt;""),ROWS($A$1:A48))),INDEX('INPUT DATA'!$Q$11:$Q$60,_xludf.AGGREGATE(15,6,(ROW('INPUT DATA'!$Q$11:$Q$60)-ROW('INPUT DATA'!$Q$11)+1)/('INPUT DATA'!$Q$11:$Q$60&lt;&gt;""),ROWS($A$1:A48)-COUNTA('INPUT DATA'!$L$11:$L$60)))),"")</f>
        <v/>
      </c>
    </row>
    <row r="49" ht="12.75" customHeight="1">
      <c r="A49" t="str">
        <f t="array" ref="A49">IFERROR(IF(ROWS($A$1:A49)&lt;=COUNTA('INPUT DATA'!$L$11:$L$60),INDEX('INPUT DATA'!$L$11:$L$60,_xludf.AGGREGATE(15,6,(ROW('INPUT DATA'!$L$11:$L$60)-ROW('INPUT DATA'!$L$11)+1)/('INPUT DATA'!$L$11:$L$60&lt;&gt;""),ROWS($A$1:A49))),INDEX('INPUT DATA'!$Q$11:$Q$60,_xludf.AGGREGATE(15,6,(ROW('INPUT DATA'!$Q$11:$Q$60)-ROW('INPUT DATA'!$Q$11)+1)/('INPUT DATA'!$Q$11:$Q$60&lt;&gt;""),ROWS($A$1:A49)-COUNTA('INPUT DATA'!$L$11:$L$60)))),"")</f>
        <v/>
      </c>
    </row>
    <row r="50" ht="12.75" customHeight="1">
      <c r="A50" t="str">
        <f t="array" ref="A50">IFERROR(IF(ROWS($A$1:A50)&lt;=COUNTA('INPUT DATA'!$L$11:$L$60),INDEX('INPUT DATA'!$L$11:$L$60,_xludf.AGGREGATE(15,6,(ROW('INPUT DATA'!$L$11:$L$60)-ROW('INPUT DATA'!$L$11)+1)/('INPUT DATA'!$L$11:$L$60&lt;&gt;""),ROWS($A$1:A50))),INDEX('INPUT DATA'!$Q$11:$Q$60,_xludf.AGGREGATE(15,6,(ROW('INPUT DATA'!$Q$11:$Q$60)-ROW('INPUT DATA'!$Q$11)+1)/('INPUT DATA'!$Q$11:$Q$60&lt;&gt;""),ROWS($A$1:A50)-COUNTA('INPUT DATA'!$L$11:$L$60)))),"")</f>
        <v/>
      </c>
    </row>
    <row r="51" ht="12.75" customHeight="1">
      <c r="A51" t="str">
        <f t="array" ref="A51">IFERROR(IF(ROWS($A$1:A51)&lt;=COUNTA('INPUT DATA'!$L$11:$L$60),INDEX('INPUT DATA'!$L$11:$L$60,_xludf.AGGREGATE(15,6,(ROW('INPUT DATA'!$L$11:$L$60)-ROW('INPUT DATA'!$L$11)+1)/('INPUT DATA'!$L$11:$L$60&lt;&gt;""),ROWS($A$1:A51))),INDEX('INPUT DATA'!$Q$11:$Q$60,_xludf.AGGREGATE(15,6,(ROW('INPUT DATA'!$Q$11:$Q$60)-ROW('INPUT DATA'!$Q$11)+1)/('INPUT DATA'!$Q$11:$Q$60&lt;&gt;""),ROWS($A$1:A51)-COUNTA('INPUT DATA'!$L$11:$L$60)))),"")</f>
        <v/>
      </c>
    </row>
    <row r="52" ht="12.75" customHeight="1">
      <c r="A52" t="str">
        <f t="array" ref="A52">IFERROR(IF(ROWS($A$1:A52)&lt;=COUNTA('INPUT DATA'!$L$11:$L$60),INDEX('INPUT DATA'!$L$11:$L$60,_xludf.AGGREGATE(15,6,(ROW('INPUT DATA'!$L$11:$L$60)-ROW('INPUT DATA'!$L$11)+1)/('INPUT DATA'!$L$11:$L$60&lt;&gt;""),ROWS($A$1:A52))),INDEX('INPUT DATA'!$Q$11:$Q$60,_xludf.AGGREGATE(15,6,(ROW('INPUT DATA'!$Q$11:$Q$60)-ROW('INPUT DATA'!$Q$11)+1)/('INPUT DATA'!$Q$11:$Q$60&lt;&gt;""),ROWS($A$1:A52)-COUNTA('INPUT DATA'!$L$11:$L$60)))),"")</f>
        <v/>
      </c>
    </row>
    <row r="53" ht="12.75" customHeight="1">
      <c r="A53" t="str">
        <f t="array" ref="A53">IFERROR(IF(ROWS($A$1:A53)&lt;=COUNTA('INPUT DATA'!$L$11:$L$60),INDEX('INPUT DATA'!$L$11:$L$60,_xludf.AGGREGATE(15,6,(ROW('INPUT DATA'!$L$11:$L$60)-ROW('INPUT DATA'!$L$11)+1)/('INPUT DATA'!$L$11:$L$60&lt;&gt;""),ROWS($A$1:A53))),INDEX('INPUT DATA'!$Q$11:$Q$60,_xludf.AGGREGATE(15,6,(ROW('INPUT DATA'!$Q$11:$Q$60)-ROW('INPUT DATA'!$Q$11)+1)/('INPUT DATA'!$Q$11:$Q$60&lt;&gt;""),ROWS($A$1:A53)-COUNTA('INPUT DATA'!$L$11:$L$60)))),"")</f>
        <v/>
      </c>
    </row>
    <row r="54" ht="12.75" customHeight="1">
      <c r="A54" t="str">
        <f t="array" ref="A54">IFERROR(IF(ROWS($A$1:A54)&lt;=COUNTA('INPUT DATA'!$L$11:$L$60),INDEX('INPUT DATA'!$L$11:$L$60,_xludf.AGGREGATE(15,6,(ROW('INPUT DATA'!$L$11:$L$60)-ROW('INPUT DATA'!$L$11)+1)/('INPUT DATA'!$L$11:$L$60&lt;&gt;""),ROWS($A$1:A54))),INDEX('INPUT DATA'!$Q$11:$Q$60,_xludf.AGGREGATE(15,6,(ROW('INPUT DATA'!$Q$11:$Q$60)-ROW('INPUT DATA'!$Q$11)+1)/('INPUT DATA'!$Q$11:$Q$60&lt;&gt;""),ROWS($A$1:A54)-COUNTA('INPUT DATA'!$L$11:$L$60)))),"")</f>
        <v/>
      </c>
    </row>
    <row r="55" ht="12.75" customHeight="1">
      <c r="A55" t="str">
        <f t="array" ref="A55">IFERROR(IF(ROWS($A$1:A55)&lt;=COUNTA('INPUT DATA'!$L$11:$L$60),INDEX('INPUT DATA'!$L$11:$L$60,_xludf.AGGREGATE(15,6,(ROW('INPUT DATA'!$L$11:$L$60)-ROW('INPUT DATA'!$L$11)+1)/('INPUT DATA'!$L$11:$L$60&lt;&gt;""),ROWS($A$1:A55))),INDEX('INPUT DATA'!$Q$11:$Q$60,_xludf.AGGREGATE(15,6,(ROW('INPUT DATA'!$Q$11:$Q$60)-ROW('INPUT DATA'!$Q$11)+1)/('INPUT DATA'!$Q$11:$Q$60&lt;&gt;""),ROWS($A$1:A55)-COUNTA('INPUT DATA'!$L$11:$L$60)))),"")</f>
        <v/>
      </c>
    </row>
    <row r="56" ht="12.75" customHeight="1">
      <c r="A56" t="str">
        <f t="array" ref="A56">IFERROR(IF(ROWS($A$1:A56)&lt;=COUNTA('INPUT DATA'!$L$11:$L$60),INDEX('INPUT DATA'!$L$11:$L$60,_xludf.AGGREGATE(15,6,(ROW('INPUT DATA'!$L$11:$L$60)-ROW('INPUT DATA'!$L$11)+1)/('INPUT DATA'!$L$11:$L$60&lt;&gt;""),ROWS($A$1:A56))),INDEX('INPUT DATA'!$Q$11:$Q$60,_xludf.AGGREGATE(15,6,(ROW('INPUT DATA'!$Q$11:$Q$60)-ROW('INPUT DATA'!$Q$11)+1)/('INPUT DATA'!$Q$11:$Q$60&lt;&gt;""),ROWS($A$1:A56)-COUNTA('INPUT DATA'!$L$11:$L$60)))),"")</f>
        <v/>
      </c>
    </row>
    <row r="57" ht="12.75" customHeight="1">
      <c r="A57" t="str">
        <f t="array" ref="A57">IFERROR(IF(ROWS($A$1:A57)&lt;=COUNTA('INPUT DATA'!$L$11:$L$60),INDEX('INPUT DATA'!$L$11:$L$60,_xludf.AGGREGATE(15,6,(ROW('INPUT DATA'!$L$11:$L$60)-ROW('INPUT DATA'!$L$11)+1)/('INPUT DATA'!$L$11:$L$60&lt;&gt;""),ROWS($A$1:A57))),INDEX('INPUT DATA'!$Q$11:$Q$60,_xludf.AGGREGATE(15,6,(ROW('INPUT DATA'!$Q$11:$Q$60)-ROW('INPUT DATA'!$Q$11)+1)/('INPUT DATA'!$Q$11:$Q$60&lt;&gt;""),ROWS($A$1:A57)-COUNTA('INPUT DATA'!$L$11:$L$60)))),"")</f>
        <v/>
      </c>
    </row>
    <row r="58" ht="12.75" customHeight="1">
      <c r="A58" t="str">
        <f t="array" ref="A58">IFERROR(IF(ROWS($A$1:A58)&lt;=COUNTA('INPUT DATA'!$L$11:$L$60),INDEX('INPUT DATA'!$L$11:$L$60,_xludf.AGGREGATE(15,6,(ROW('INPUT DATA'!$L$11:$L$60)-ROW('INPUT DATA'!$L$11)+1)/('INPUT DATA'!$L$11:$L$60&lt;&gt;""),ROWS($A$1:A58))),INDEX('INPUT DATA'!$Q$11:$Q$60,_xludf.AGGREGATE(15,6,(ROW('INPUT DATA'!$Q$11:$Q$60)-ROW('INPUT DATA'!$Q$11)+1)/('INPUT DATA'!$Q$11:$Q$60&lt;&gt;""),ROWS($A$1:A58)-COUNTA('INPUT DATA'!$L$11:$L$60)))),"")</f>
        <v/>
      </c>
    </row>
    <row r="59" ht="12.75" customHeight="1">
      <c r="A59" t="str">
        <f t="array" ref="A59">IFERROR(IF(ROWS($A$1:A59)&lt;=COUNTA('INPUT DATA'!$L$11:$L$60),INDEX('INPUT DATA'!$L$11:$L$60,_xludf.AGGREGATE(15,6,(ROW('INPUT DATA'!$L$11:$L$60)-ROW('INPUT DATA'!$L$11)+1)/('INPUT DATA'!$L$11:$L$60&lt;&gt;""),ROWS($A$1:A59))),INDEX('INPUT DATA'!$Q$11:$Q$60,_xludf.AGGREGATE(15,6,(ROW('INPUT DATA'!$Q$11:$Q$60)-ROW('INPUT DATA'!$Q$11)+1)/('INPUT DATA'!$Q$11:$Q$60&lt;&gt;""),ROWS($A$1:A59)-COUNTA('INPUT DATA'!$L$11:$L$60)))),"")</f>
        <v/>
      </c>
    </row>
    <row r="60" ht="12.75" customHeight="1">
      <c r="A60" t="str">
        <f t="array" ref="A60">IFERROR(IF(ROWS($A$1:A60)&lt;=COUNTA('INPUT DATA'!$L$11:$L$60),INDEX('INPUT DATA'!$L$11:$L$60,_xludf.AGGREGATE(15,6,(ROW('INPUT DATA'!$L$11:$L$60)-ROW('INPUT DATA'!$L$11)+1)/('INPUT DATA'!$L$11:$L$60&lt;&gt;""),ROWS($A$1:A60))),INDEX('INPUT DATA'!$Q$11:$Q$60,_xludf.AGGREGATE(15,6,(ROW('INPUT DATA'!$Q$11:$Q$60)-ROW('INPUT DATA'!$Q$11)+1)/('INPUT DATA'!$Q$11:$Q$60&lt;&gt;""),ROWS($A$1:A60)-COUNTA('INPUT DATA'!$L$11:$L$60)))),"")</f>
        <v/>
      </c>
    </row>
    <row r="61" ht="12.75" customHeight="1">
      <c r="A61" t="str">
        <f t="array" ref="A61">IFERROR(IF(ROWS($A$1:A61)&lt;=COUNTA('INPUT DATA'!$L$11:$L$60),INDEX('INPUT DATA'!$L$11:$L$60,_xludf.AGGREGATE(15,6,(ROW('INPUT DATA'!$L$11:$L$60)-ROW('INPUT DATA'!$L$11)+1)/('INPUT DATA'!$L$11:$L$60&lt;&gt;""),ROWS($A$1:A61))),INDEX('INPUT DATA'!$Q$11:$Q$60,_xludf.AGGREGATE(15,6,(ROW('INPUT DATA'!$Q$11:$Q$60)-ROW('INPUT DATA'!$Q$11)+1)/('INPUT DATA'!$Q$11:$Q$60&lt;&gt;""),ROWS($A$1:A61)-COUNTA('INPUT DATA'!$L$11:$L$60)))),"")</f>
        <v/>
      </c>
    </row>
    <row r="62" ht="12.75" customHeight="1">
      <c r="A62" t="str">
        <f t="array" ref="A62">IFERROR(IF(ROWS($A$1:A62)&lt;=COUNTA('INPUT DATA'!$L$11:$L$60),INDEX('INPUT DATA'!$L$11:$L$60,_xludf.AGGREGATE(15,6,(ROW('INPUT DATA'!$L$11:$L$60)-ROW('INPUT DATA'!$L$11)+1)/('INPUT DATA'!$L$11:$L$60&lt;&gt;""),ROWS($A$1:A62))),INDEX('INPUT DATA'!$Q$11:$Q$60,_xludf.AGGREGATE(15,6,(ROW('INPUT DATA'!$Q$11:$Q$60)-ROW('INPUT DATA'!$Q$11)+1)/('INPUT DATA'!$Q$11:$Q$60&lt;&gt;""),ROWS($A$1:A62)-COUNTA('INPUT DATA'!$L$11:$L$60)))),"")</f>
        <v/>
      </c>
    </row>
    <row r="63" ht="12.75" customHeight="1">
      <c r="A63" t="str">
        <f t="array" ref="A63">IFERROR(IF(ROWS($A$1:A63)&lt;=COUNTA('INPUT DATA'!$L$11:$L$60),INDEX('INPUT DATA'!$L$11:$L$60,_xludf.AGGREGATE(15,6,(ROW('INPUT DATA'!$L$11:$L$60)-ROW('INPUT DATA'!$L$11)+1)/('INPUT DATA'!$L$11:$L$60&lt;&gt;""),ROWS($A$1:A63))),INDEX('INPUT DATA'!$Q$11:$Q$60,_xludf.AGGREGATE(15,6,(ROW('INPUT DATA'!$Q$11:$Q$60)-ROW('INPUT DATA'!$Q$11)+1)/('INPUT DATA'!$Q$11:$Q$60&lt;&gt;""),ROWS($A$1:A63)-COUNTA('INPUT DATA'!$L$11:$L$60)))),"")</f>
        <v/>
      </c>
    </row>
    <row r="64" ht="12.75" customHeight="1">
      <c r="A64" t="str">
        <f t="array" ref="A64">IFERROR(IF(ROWS($A$1:A64)&lt;=COUNTA('INPUT DATA'!$L$11:$L$60),INDEX('INPUT DATA'!$L$11:$L$60,_xludf.AGGREGATE(15,6,(ROW('INPUT DATA'!$L$11:$L$60)-ROW('INPUT DATA'!$L$11)+1)/('INPUT DATA'!$L$11:$L$60&lt;&gt;""),ROWS($A$1:A64))),INDEX('INPUT DATA'!$Q$11:$Q$60,_xludf.AGGREGATE(15,6,(ROW('INPUT DATA'!$Q$11:$Q$60)-ROW('INPUT DATA'!$Q$11)+1)/('INPUT DATA'!$Q$11:$Q$60&lt;&gt;""),ROWS($A$1:A64)-COUNTA('INPUT DATA'!$L$11:$L$60)))),"")</f>
        <v/>
      </c>
    </row>
    <row r="65" ht="12.75" customHeight="1">
      <c r="A65" t="str">
        <f t="array" ref="A65">IFERROR(IF(ROWS($A$1:A65)&lt;=COUNTA('INPUT DATA'!$L$11:$L$60),INDEX('INPUT DATA'!$L$11:$L$60,_xludf.AGGREGATE(15,6,(ROW('INPUT DATA'!$L$11:$L$60)-ROW('INPUT DATA'!$L$11)+1)/('INPUT DATA'!$L$11:$L$60&lt;&gt;""),ROWS($A$1:A65))),INDEX('INPUT DATA'!$Q$11:$Q$60,_xludf.AGGREGATE(15,6,(ROW('INPUT DATA'!$Q$11:$Q$60)-ROW('INPUT DATA'!$Q$11)+1)/('INPUT DATA'!$Q$11:$Q$60&lt;&gt;""),ROWS($A$1:A65)-COUNTA('INPUT DATA'!$L$11:$L$60)))),"")</f>
        <v/>
      </c>
    </row>
    <row r="66" ht="12.75" customHeight="1">
      <c r="A66" t="str">
        <f t="array" ref="A66">IFERROR(IF(ROWS($A$1:A66)&lt;=COUNTA('INPUT DATA'!$L$11:$L$60),INDEX('INPUT DATA'!$L$11:$L$60,_xludf.AGGREGATE(15,6,(ROW('INPUT DATA'!$L$11:$L$60)-ROW('INPUT DATA'!$L$11)+1)/('INPUT DATA'!$L$11:$L$60&lt;&gt;""),ROWS($A$1:A66))),INDEX('INPUT DATA'!$Q$11:$Q$60,_xludf.AGGREGATE(15,6,(ROW('INPUT DATA'!$Q$11:$Q$60)-ROW('INPUT DATA'!$Q$11)+1)/('INPUT DATA'!$Q$11:$Q$60&lt;&gt;""),ROWS($A$1:A66)-COUNTA('INPUT DATA'!$L$11:$L$60)))),"")</f>
        <v/>
      </c>
    </row>
    <row r="67" ht="12.75" customHeight="1">
      <c r="A67" t="str">
        <f t="array" ref="A67">IFERROR(IF(ROWS($A$1:A67)&lt;=COUNTA('INPUT DATA'!$L$11:$L$60),INDEX('INPUT DATA'!$L$11:$L$60,_xludf.AGGREGATE(15,6,(ROW('INPUT DATA'!$L$11:$L$60)-ROW('INPUT DATA'!$L$11)+1)/('INPUT DATA'!$L$11:$L$60&lt;&gt;""),ROWS($A$1:A67))),INDEX('INPUT DATA'!$Q$11:$Q$60,_xludf.AGGREGATE(15,6,(ROW('INPUT DATA'!$Q$11:$Q$60)-ROW('INPUT DATA'!$Q$11)+1)/('INPUT DATA'!$Q$11:$Q$60&lt;&gt;""),ROWS($A$1:A67)-COUNTA('INPUT DATA'!$L$11:$L$60)))),"")</f>
        <v/>
      </c>
    </row>
    <row r="68" ht="12.75" customHeight="1">
      <c r="A68" t="str">
        <f t="array" ref="A68">IFERROR(IF(ROWS($A$1:A68)&lt;=COUNTA('INPUT DATA'!$L$11:$L$60),INDEX('INPUT DATA'!$L$11:$L$60,_xludf.AGGREGATE(15,6,(ROW('INPUT DATA'!$L$11:$L$60)-ROW('INPUT DATA'!$L$11)+1)/('INPUT DATA'!$L$11:$L$60&lt;&gt;""),ROWS($A$1:A68))),INDEX('INPUT DATA'!$Q$11:$Q$60,_xludf.AGGREGATE(15,6,(ROW('INPUT DATA'!$Q$11:$Q$60)-ROW('INPUT DATA'!$Q$11)+1)/('INPUT DATA'!$Q$11:$Q$60&lt;&gt;""),ROWS($A$1:A68)-COUNTA('INPUT DATA'!$L$11:$L$60)))),"")</f>
        <v/>
      </c>
    </row>
    <row r="69" ht="12.75" customHeight="1">
      <c r="A69" t="str">
        <f t="array" ref="A69">IFERROR(IF(ROWS($A$1:A69)&lt;=COUNTA('INPUT DATA'!$L$11:$L$60),INDEX('INPUT DATA'!$L$11:$L$60,_xludf.AGGREGATE(15,6,(ROW('INPUT DATA'!$L$11:$L$60)-ROW('INPUT DATA'!$L$11)+1)/('INPUT DATA'!$L$11:$L$60&lt;&gt;""),ROWS($A$1:A69))),INDEX('INPUT DATA'!$Q$11:$Q$60,_xludf.AGGREGATE(15,6,(ROW('INPUT DATA'!$Q$11:$Q$60)-ROW('INPUT DATA'!$Q$11)+1)/('INPUT DATA'!$Q$11:$Q$60&lt;&gt;""),ROWS($A$1:A69)-COUNTA('INPUT DATA'!$L$11:$L$60)))),"")</f>
        <v/>
      </c>
    </row>
    <row r="70" ht="12.75" customHeight="1">
      <c r="A70" t="str">
        <f t="array" ref="A70">IFERROR(IF(ROWS($A$1:A70)&lt;=COUNTA('INPUT DATA'!$L$11:$L$60),INDEX('INPUT DATA'!$L$11:$L$60,_xludf.AGGREGATE(15,6,(ROW('INPUT DATA'!$L$11:$L$60)-ROW('INPUT DATA'!$L$11)+1)/('INPUT DATA'!$L$11:$L$60&lt;&gt;""),ROWS($A$1:A70))),INDEX('INPUT DATA'!$Q$11:$Q$60,_xludf.AGGREGATE(15,6,(ROW('INPUT DATA'!$Q$11:$Q$60)-ROW('INPUT DATA'!$Q$11)+1)/('INPUT DATA'!$Q$11:$Q$60&lt;&gt;""),ROWS($A$1:A70)-COUNTA('INPUT DATA'!$L$11:$L$60)))),"")</f>
        <v/>
      </c>
    </row>
    <row r="71" ht="12.75" customHeight="1">
      <c r="A71" t="str">
        <f t="array" ref="A71">IFERROR(IF(ROWS($A$1:A71)&lt;=COUNTA('INPUT DATA'!$L$11:$L$60),INDEX('INPUT DATA'!$L$11:$L$60,_xludf.AGGREGATE(15,6,(ROW('INPUT DATA'!$L$11:$L$60)-ROW('INPUT DATA'!$L$11)+1)/('INPUT DATA'!$L$11:$L$60&lt;&gt;""),ROWS($A$1:A71))),INDEX('INPUT DATA'!$Q$11:$Q$60,_xludf.AGGREGATE(15,6,(ROW('INPUT DATA'!$Q$11:$Q$60)-ROW('INPUT DATA'!$Q$11)+1)/('INPUT DATA'!$Q$11:$Q$60&lt;&gt;""),ROWS($A$1:A71)-COUNTA('INPUT DATA'!$L$11:$L$60)))),"")</f>
        <v/>
      </c>
    </row>
    <row r="72" ht="12.75" customHeight="1">
      <c r="A72" t="str">
        <f t="array" ref="A72">IFERROR(IF(ROWS($A$1:A72)&lt;=COUNTA('INPUT DATA'!$L$11:$L$60),INDEX('INPUT DATA'!$L$11:$L$60,_xludf.AGGREGATE(15,6,(ROW('INPUT DATA'!$L$11:$L$60)-ROW('INPUT DATA'!$L$11)+1)/('INPUT DATA'!$L$11:$L$60&lt;&gt;""),ROWS($A$1:A72))),INDEX('INPUT DATA'!$Q$11:$Q$60,_xludf.AGGREGATE(15,6,(ROW('INPUT DATA'!$Q$11:$Q$60)-ROW('INPUT DATA'!$Q$11)+1)/('INPUT DATA'!$Q$11:$Q$60&lt;&gt;""),ROWS($A$1:A72)-COUNTA('INPUT DATA'!$L$11:$L$60)))),"")</f>
        <v/>
      </c>
    </row>
    <row r="73" ht="12.75" customHeight="1">
      <c r="A73" t="str">
        <f t="array" ref="A73">IFERROR(IF(ROWS($A$1:A73)&lt;=COUNTA('INPUT DATA'!$L$11:$L$60),INDEX('INPUT DATA'!$L$11:$L$60,_xludf.AGGREGATE(15,6,(ROW('INPUT DATA'!$L$11:$L$60)-ROW('INPUT DATA'!$L$11)+1)/('INPUT DATA'!$L$11:$L$60&lt;&gt;""),ROWS($A$1:A73))),INDEX('INPUT DATA'!$Q$11:$Q$60,_xludf.AGGREGATE(15,6,(ROW('INPUT DATA'!$Q$11:$Q$60)-ROW('INPUT DATA'!$Q$11)+1)/('INPUT DATA'!$Q$11:$Q$60&lt;&gt;""),ROWS($A$1:A73)-COUNTA('INPUT DATA'!$L$11:$L$60)))),"")</f>
        <v/>
      </c>
    </row>
    <row r="74" ht="12.75" customHeight="1">
      <c r="A74" t="str">
        <f t="array" ref="A74">IFERROR(IF(ROWS($A$1:A74)&lt;=COUNTA('INPUT DATA'!$L$11:$L$60),INDEX('INPUT DATA'!$L$11:$L$60,_xludf.AGGREGATE(15,6,(ROW('INPUT DATA'!$L$11:$L$60)-ROW('INPUT DATA'!$L$11)+1)/('INPUT DATA'!$L$11:$L$60&lt;&gt;""),ROWS($A$1:A74))),INDEX('INPUT DATA'!$Q$11:$Q$60,_xludf.AGGREGATE(15,6,(ROW('INPUT DATA'!$Q$11:$Q$60)-ROW('INPUT DATA'!$Q$11)+1)/('INPUT DATA'!$Q$11:$Q$60&lt;&gt;""),ROWS($A$1:A74)-COUNTA('INPUT DATA'!$L$11:$L$60)))),"")</f>
        <v/>
      </c>
    </row>
    <row r="75" ht="12.75" customHeight="1">
      <c r="A75" t="str">
        <f t="array" ref="A75">IFERROR(IF(ROWS($A$1:A75)&lt;=COUNTA('INPUT DATA'!$L$11:$L$60),INDEX('INPUT DATA'!$L$11:$L$60,_xludf.AGGREGATE(15,6,(ROW('INPUT DATA'!$L$11:$L$60)-ROW('INPUT DATA'!$L$11)+1)/('INPUT DATA'!$L$11:$L$60&lt;&gt;""),ROWS($A$1:A75))),INDEX('INPUT DATA'!$Q$11:$Q$60,_xludf.AGGREGATE(15,6,(ROW('INPUT DATA'!$Q$11:$Q$60)-ROW('INPUT DATA'!$Q$11)+1)/('INPUT DATA'!$Q$11:$Q$60&lt;&gt;""),ROWS($A$1:A75)-COUNTA('INPUT DATA'!$L$11:$L$60)))),"")</f>
        <v/>
      </c>
    </row>
    <row r="76" ht="12.75" customHeight="1">
      <c r="A76" t="str">
        <f t="array" ref="A76">IFERROR(IF(ROWS($A$1:A76)&lt;=COUNTA('INPUT DATA'!$L$11:$L$60),INDEX('INPUT DATA'!$L$11:$L$60,_xludf.AGGREGATE(15,6,(ROW('INPUT DATA'!$L$11:$L$60)-ROW('INPUT DATA'!$L$11)+1)/('INPUT DATA'!$L$11:$L$60&lt;&gt;""),ROWS($A$1:A76))),INDEX('INPUT DATA'!$Q$11:$Q$60,_xludf.AGGREGATE(15,6,(ROW('INPUT DATA'!$Q$11:$Q$60)-ROW('INPUT DATA'!$Q$11)+1)/('INPUT DATA'!$Q$11:$Q$60&lt;&gt;""),ROWS($A$1:A76)-COUNTA('INPUT DATA'!$L$11:$L$60)))),"")</f>
        <v/>
      </c>
    </row>
    <row r="77" ht="12.75" customHeight="1">
      <c r="A77" t="str">
        <f t="array" ref="A77">IFERROR(IF(ROWS($A$1:A77)&lt;=COUNTA('INPUT DATA'!$L$11:$L$60),INDEX('INPUT DATA'!$L$11:$L$60,_xludf.AGGREGATE(15,6,(ROW('INPUT DATA'!$L$11:$L$60)-ROW('INPUT DATA'!$L$11)+1)/('INPUT DATA'!$L$11:$L$60&lt;&gt;""),ROWS($A$1:A77))),INDEX('INPUT DATA'!$Q$11:$Q$60,_xludf.AGGREGATE(15,6,(ROW('INPUT DATA'!$Q$11:$Q$60)-ROW('INPUT DATA'!$Q$11)+1)/('INPUT DATA'!$Q$11:$Q$60&lt;&gt;""),ROWS($A$1:A77)-COUNTA('INPUT DATA'!$L$11:$L$60)))),"")</f>
        <v/>
      </c>
    </row>
    <row r="78" ht="12.75" customHeight="1">
      <c r="A78" t="str">
        <f t="array" ref="A78">IFERROR(IF(ROWS($A$1:A78)&lt;=COUNTA('INPUT DATA'!$L$11:$L$60),INDEX('INPUT DATA'!$L$11:$L$60,_xludf.AGGREGATE(15,6,(ROW('INPUT DATA'!$L$11:$L$60)-ROW('INPUT DATA'!$L$11)+1)/('INPUT DATA'!$L$11:$L$60&lt;&gt;""),ROWS($A$1:A78))),INDEX('INPUT DATA'!$Q$11:$Q$60,_xludf.AGGREGATE(15,6,(ROW('INPUT DATA'!$Q$11:$Q$60)-ROW('INPUT DATA'!$Q$11)+1)/('INPUT DATA'!$Q$11:$Q$60&lt;&gt;""),ROWS($A$1:A78)-COUNTA('INPUT DATA'!$L$11:$L$60)))),"")</f>
        <v/>
      </c>
    </row>
    <row r="79" ht="12.75" customHeight="1">
      <c r="A79" t="str">
        <f t="array" ref="A79">IFERROR(IF(ROWS($A$1:A79)&lt;=COUNTA('INPUT DATA'!$L$11:$L$60),INDEX('INPUT DATA'!$L$11:$L$60,_xludf.AGGREGATE(15,6,(ROW('INPUT DATA'!$L$11:$L$60)-ROW('INPUT DATA'!$L$11)+1)/('INPUT DATA'!$L$11:$L$60&lt;&gt;""),ROWS($A$1:A79))),INDEX('INPUT DATA'!$Q$11:$Q$60,_xludf.AGGREGATE(15,6,(ROW('INPUT DATA'!$Q$11:$Q$60)-ROW('INPUT DATA'!$Q$11)+1)/('INPUT DATA'!$Q$11:$Q$60&lt;&gt;""),ROWS($A$1:A79)-COUNTA('INPUT DATA'!$L$11:$L$60)))),"")</f>
        <v/>
      </c>
    </row>
    <row r="80" ht="12.75" customHeight="1">
      <c r="A80" t="str">
        <f t="array" ref="A80">IFERROR(IF(ROWS($A$1:A80)&lt;=COUNTA('INPUT DATA'!$L$11:$L$60),INDEX('INPUT DATA'!$L$11:$L$60,_xludf.AGGREGATE(15,6,(ROW('INPUT DATA'!$L$11:$L$60)-ROW('INPUT DATA'!$L$11)+1)/('INPUT DATA'!$L$11:$L$60&lt;&gt;""),ROWS($A$1:A80))),INDEX('INPUT DATA'!$Q$11:$Q$60,_xludf.AGGREGATE(15,6,(ROW('INPUT DATA'!$Q$11:$Q$60)-ROW('INPUT DATA'!$Q$11)+1)/('INPUT DATA'!$Q$11:$Q$60&lt;&gt;""),ROWS($A$1:A80)-COUNTA('INPUT DATA'!$L$11:$L$60)))),"")</f>
        <v/>
      </c>
    </row>
    <row r="81" ht="12.75" customHeight="1">
      <c r="A81" t="str">
        <f t="array" ref="A81">IFERROR(IF(ROWS($A$1:A81)&lt;=COUNTA('INPUT DATA'!$L$11:$L$60),INDEX('INPUT DATA'!$L$11:$L$60,_xludf.AGGREGATE(15,6,(ROW('INPUT DATA'!$L$11:$L$60)-ROW('INPUT DATA'!$L$11)+1)/('INPUT DATA'!$L$11:$L$60&lt;&gt;""),ROWS($A$1:A81))),INDEX('INPUT DATA'!$Q$11:$Q$60,_xludf.AGGREGATE(15,6,(ROW('INPUT DATA'!$Q$11:$Q$60)-ROW('INPUT DATA'!$Q$11)+1)/('INPUT DATA'!$Q$11:$Q$60&lt;&gt;""),ROWS($A$1:A81)-COUNTA('INPUT DATA'!$L$11:$L$60)))),"")</f>
        <v/>
      </c>
    </row>
    <row r="82" ht="12.75" customHeight="1">
      <c r="A82" t="str">
        <f t="array" ref="A82">IFERROR(IF(ROWS($A$1:A82)&lt;=COUNTA('INPUT DATA'!$L$11:$L$60),INDEX('INPUT DATA'!$L$11:$L$60,_xludf.AGGREGATE(15,6,(ROW('INPUT DATA'!$L$11:$L$60)-ROW('INPUT DATA'!$L$11)+1)/('INPUT DATA'!$L$11:$L$60&lt;&gt;""),ROWS($A$1:A82))),INDEX('INPUT DATA'!$Q$11:$Q$60,_xludf.AGGREGATE(15,6,(ROW('INPUT DATA'!$Q$11:$Q$60)-ROW('INPUT DATA'!$Q$11)+1)/('INPUT DATA'!$Q$11:$Q$60&lt;&gt;""),ROWS($A$1:A82)-COUNTA('INPUT DATA'!$L$11:$L$60)))),"")</f>
        <v/>
      </c>
    </row>
    <row r="83" ht="12.75" customHeight="1">
      <c r="A83" t="str">
        <f t="array" ref="A83">IFERROR(IF(ROWS($A$1:A83)&lt;=COUNTA('INPUT DATA'!$L$11:$L$60),INDEX('INPUT DATA'!$L$11:$L$60,_xludf.AGGREGATE(15,6,(ROW('INPUT DATA'!$L$11:$L$60)-ROW('INPUT DATA'!$L$11)+1)/('INPUT DATA'!$L$11:$L$60&lt;&gt;""),ROWS($A$1:A83))),INDEX('INPUT DATA'!$Q$11:$Q$60,_xludf.AGGREGATE(15,6,(ROW('INPUT DATA'!$Q$11:$Q$60)-ROW('INPUT DATA'!$Q$11)+1)/('INPUT DATA'!$Q$11:$Q$60&lt;&gt;""),ROWS($A$1:A83)-COUNTA('INPUT DATA'!$L$11:$L$60)))),"")</f>
        <v/>
      </c>
    </row>
    <row r="84" ht="12.75" customHeight="1">
      <c r="A84" t="str">
        <f t="array" ref="A84">IFERROR(IF(ROWS($A$1:A84)&lt;=COUNTA('INPUT DATA'!$L$11:$L$60),INDEX('INPUT DATA'!$L$11:$L$60,_xludf.AGGREGATE(15,6,(ROW('INPUT DATA'!$L$11:$L$60)-ROW('INPUT DATA'!$L$11)+1)/('INPUT DATA'!$L$11:$L$60&lt;&gt;""),ROWS($A$1:A84))),INDEX('INPUT DATA'!$Q$11:$Q$60,_xludf.AGGREGATE(15,6,(ROW('INPUT DATA'!$Q$11:$Q$60)-ROW('INPUT DATA'!$Q$11)+1)/('INPUT DATA'!$Q$11:$Q$60&lt;&gt;""),ROWS($A$1:A84)-COUNTA('INPUT DATA'!$L$11:$L$60)))),"")</f>
        <v/>
      </c>
    </row>
    <row r="85" ht="12.75" customHeight="1">
      <c r="A85" t="str">
        <f t="array" ref="A85">IFERROR(IF(ROWS($A$1:A85)&lt;=COUNTA('INPUT DATA'!$L$11:$L$60),INDEX('INPUT DATA'!$L$11:$L$60,_xludf.AGGREGATE(15,6,(ROW('INPUT DATA'!$L$11:$L$60)-ROW('INPUT DATA'!$L$11)+1)/('INPUT DATA'!$L$11:$L$60&lt;&gt;""),ROWS($A$1:A85))),INDEX('INPUT DATA'!$Q$11:$Q$60,_xludf.AGGREGATE(15,6,(ROW('INPUT DATA'!$Q$11:$Q$60)-ROW('INPUT DATA'!$Q$11)+1)/('INPUT DATA'!$Q$11:$Q$60&lt;&gt;""),ROWS($A$1:A85)-COUNTA('INPUT DATA'!$L$11:$L$60)))),"")</f>
        <v/>
      </c>
    </row>
    <row r="86" ht="12.75" customHeight="1">
      <c r="A86" t="str">
        <f t="array" ref="A86">IFERROR(IF(ROWS($A$1:A86)&lt;=COUNTA('INPUT DATA'!$L$11:$L$60),INDEX('INPUT DATA'!$L$11:$L$60,_xludf.AGGREGATE(15,6,(ROW('INPUT DATA'!$L$11:$L$60)-ROW('INPUT DATA'!$L$11)+1)/('INPUT DATA'!$L$11:$L$60&lt;&gt;""),ROWS($A$1:A86))),INDEX('INPUT DATA'!$Q$11:$Q$60,_xludf.AGGREGATE(15,6,(ROW('INPUT DATA'!$Q$11:$Q$60)-ROW('INPUT DATA'!$Q$11)+1)/('INPUT DATA'!$Q$11:$Q$60&lt;&gt;""),ROWS($A$1:A86)-COUNTA('INPUT DATA'!$L$11:$L$60)))),"")</f>
        <v/>
      </c>
    </row>
    <row r="87" ht="12.75" customHeight="1">
      <c r="A87" t="str">
        <f t="array" ref="A87">IFERROR(IF(ROWS($A$1:A87)&lt;=COUNTA('INPUT DATA'!$L$11:$L$60),INDEX('INPUT DATA'!$L$11:$L$60,_xludf.AGGREGATE(15,6,(ROW('INPUT DATA'!$L$11:$L$60)-ROW('INPUT DATA'!$L$11)+1)/('INPUT DATA'!$L$11:$L$60&lt;&gt;""),ROWS($A$1:A87))),INDEX('INPUT DATA'!$Q$11:$Q$60,_xludf.AGGREGATE(15,6,(ROW('INPUT DATA'!$Q$11:$Q$60)-ROW('INPUT DATA'!$Q$11)+1)/('INPUT DATA'!$Q$11:$Q$60&lt;&gt;""),ROWS($A$1:A87)-COUNTA('INPUT DATA'!$L$11:$L$60)))),"")</f>
        <v/>
      </c>
    </row>
    <row r="88" ht="12.75" customHeight="1">
      <c r="A88" t="str">
        <f t="array" ref="A88">IFERROR(IF(ROWS($A$1:A88)&lt;=COUNTA('INPUT DATA'!$L$11:$L$60),INDEX('INPUT DATA'!$L$11:$L$60,_xludf.AGGREGATE(15,6,(ROW('INPUT DATA'!$L$11:$L$60)-ROW('INPUT DATA'!$L$11)+1)/('INPUT DATA'!$L$11:$L$60&lt;&gt;""),ROWS($A$1:A88))),INDEX('INPUT DATA'!$Q$11:$Q$60,_xludf.AGGREGATE(15,6,(ROW('INPUT DATA'!$Q$11:$Q$60)-ROW('INPUT DATA'!$Q$11)+1)/('INPUT DATA'!$Q$11:$Q$60&lt;&gt;""),ROWS($A$1:A88)-COUNTA('INPUT DATA'!$L$11:$L$60)))),"")</f>
        <v/>
      </c>
    </row>
    <row r="89" ht="12.75" customHeight="1">
      <c r="A89" t="str">
        <f t="array" ref="A89">IFERROR(IF(ROWS($A$1:A89)&lt;=COUNTA('INPUT DATA'!$L$11:$L$60),INDEX('INPUT DATA'!$L$11:$L$60,_xludf.AGGREGATE(15,6,(ROW('INPUT DATA'!$L$11:$L$60)-ROW('INPUT DATA'!$L$11)+1)/('INPUT DATA'!$L$11:$L$60&lt;&gt;""),ROWS($A$1:A89))),INDEX('INPUT DATA'!$Q$11:$Q$60,_xludf.AGGREGATE(15,6,(ROW('INPUT DATA'!$Q$11:$Q$60)-ROW('INPUT DATA'!$Q$11)+1)/('INPUT DATA'!$Q$11:$Q$60&lt;&gt;""),ROWS($A$1:A89)-COUNTA('INPUT DATA'!$L$11:$L$60)))),"")</f>
        <v/>
      </c>
    </row>
    <row r="90" ht="12.75" customHeight="1">
      <c r="A90" t="str">
        <f t="array" ref="A90">IFERROR(IF(ROWS($A$1:A90)&lt;=COUNTA('INPUT DATA'!$L$11:$L$60),INDEX('INPUT DATA'!$L$11:$L$60,_xludf.AGGREGATE(15,6,(ROW('INPUT DATA'!$L$11:$L$60)-ROW('INPUT DATA'!$L$11)+1)/('INPUT DATA'!$L$11:$L$60&lt;&gt;""),ROWS($A$1:A90))),INDEX('INPUT DATA'!$Q$11:$Q$60,_xludf.AGGREGATE(15,6,(ROW('INPUT DATA'!$Q$11:$Q$60)-ROW('INPUT DATA'!$Q$11)+1)/('INPUT DATA'!$Q$11:$Q$60&lt;&gt;""),ROWS($A$1:A90)-COUNTA('INPUT DATA'!$L$11:$L$60)))),"")</f>
        <v/>
      </c>
    </row>
    <row r="91" ht="12.75" customHeight="1">
      <c r="A91" t="str">
        <f t="array" ref="A91">IFERROR(IF(ROWS($A$1:A91)&lt;=COUNTA('INPUT DATA'!$L$11:$L$60),INDEX('INPUT DATA'!$L$11:$L$60,_xludf.AGGREGATE(15,6,(ROW('INPUT DATA'!$L$11:$L$60)-ROW('INPUT DATA'!$L$11)+1)/('INPUT DATA'!$L$11:$L$60&lt;&gt;""),ROWS($A$1:A91))),INDEX('INPUT DATA'!$Q$11:$Q$60,_xludf.AGGREGATE(15,6,(ROW('INPUT DATA'!$Q$11:$Q$60)-ROW('INPUT DATA'!$Q$11)+1)/('INPUT DATA'!$Q$11:$Q$60&lt;&gt;""),ROWS($A$1:A91)-COUNTA('INPUT DATA'!$L$11:$L$60)))),"")</f>
        <v/>
      </c>
    </row>
    <row r="92" ht="12.75" customHeight="1">
      <c r="A92" t="str">
        <f t="array" ref="A92">IFERROR(IF(ROWS($A$1:A92)&lt;=COUNTA('INPUT DATA'!$L$11:$L$60),INDEX('INPUT DATA'!$L$11:$L$60,_xludf.AGGREGATE(15,6,(ROW('INPUT DATA'!$L$11:$L$60)-ROW('INPUT DATA'!$L$11)+1)/('INPUT DATA'!$L$11:$L$60&lt;&gt;""),ROWS($A$1:A92))),INDEX('INPUT DATA'!$Q$11:$Q$60,_xludf.AGGREGATE(15,6,(ROW('INPUT DATA'!$Q$11:$Q$60)-ROW('INPUT DATA'!$Q$11)+1)/('INPUT DATA'!$Q$11:$Q$60&lt;&gt;""),ROWS($A$1:A92)-COUNTA('INPUT DATA'!$L$11:$L$60)))),"")</f>
        <v/>
      </c>
    </row>
    <row r="93" ht="12.75" customHeight="1">
      <c r="A93" t="str">
        <f t="array" ref="A93">IFERROR(IF(ROWS($A$1:A93)&lt;=COUNTA('INPUT DATA'!$L$11:$L$60),INDEX('INPUT DATA'!$L$11:$L$60,_xludf.AGGREGATE(15,6,(ROW('INPUT DATA'!$L$11:$L$60)-ROW('INPUT DATA'!$L$11)+1)/('INPUT DATA'!$L$11:$L$60&lt;&gt;""),ROWS($A$1:A93))),INDEX('INPUT DATA'!$Q$11:$Q$60,_xludf.AGGREGATE(15,6,(ROW('INPUT DATA'!$Q$11:$Q$60)-ROW('INPUT DATA'!$Q$11)+1)/('INPUT DATA'!$Q$11:$Q$60&lt;&gt;""),ROWS($A$1:A93)-COUNTA('INPUT DATA'!$L$11:$L$60)))),"")</f>
        <v/>
      </c>
    </row>
    <row r="94" ht="12.75" customHeight="1">
      <c r="A94" t="str">
        <f t="array" ref="A94">IFERROR(IF(ROWS($A$1:A94)&lt;=COUNTA('INPUT DATA'!$L$11:$L$60),INDEX('INPUT DATA'!$L$11:$L$60,_xludf.AGGREGATE(15,6,(ROW('INPUT DATA'!$L$11:$L$60)-ROW('INPUT DATA'!$L$11)+1)/('INPUT DATA'!$L$11:$L$60&lt;&gt;""),ROWS($A$1:A94))),INDEX('INPUT DATA'!$Q$11:$Q$60,_xludf.AGGREGATE(15,6,(ROW('INPUT DATA'!$Q$11:$Q$60)-ROW('INPUT DATA'!$Q$11)+1)/('INPUT DATA'!$Q$11:$Q$60&lt;&gt;""),ROWS($A$1:A94)-COUNTA('INPUT DATA'!$L$11:$L$60)))),"")</f>
        <v/>
      </c>
    </row>
    <row r="95" ht="12.75" customHeight="1">
      <c r="A95" t="str">
        <f t="array" ref="A95">IFERROR(IF(ROWS($A$1:A95)&lt;=COUNTA('INPUT DATA'!$L$11:$L$60),INDEX('INPUT DATA'!$L$11:$L$60,_xludf.AGGREGATE(15,6,(ROW('INPUT DATA'!$L$11:$L$60)-ROW('INPUT DATA'!$L$11)+1)/('INPUT DATA'!$L$11:$L$60&lt;&gt;""),ROWS($A$1:A95))),INDEX('INPUT DATA'!$Q$11:$Q$60,_xludf.AGGREGATE(15,6,(ROW('INPUT DATA'!$Q$11:$Q$60)-ROW('INPUT DATA'!$Q$11)+1)/('INPUT DATA'!$Q$11:$Q$60&lt;&gt;""),ROWS($A$1:A95)-COUNTA('INPUT DATA'!$L$11:$L$60)))),"")</f>
        <v/>
      </c>
    </row>
    <row r="96" ht="12.75" customHeight="1">
      <c r="A96" t="str">
        <f t="array" ref="A96">IFERROR(IF(ROWS($A$1:A96)&lt;=COUNTA('INPUT DATA'!$L$11:$L$60),INDEX('INPUT DATA'!$L$11:$L$60,_xludf.AGGREGATE(15,6,(ROW('INPUT DATA'!$L$11:$L$60)-ROW('INPUT DATA'!$L$11)+1)/('INPUT DATA'!$L$11:$L$60&lt;&gt;""),ROWS($A$1:A96))),INDEX('INPUT DATA'!$Q$11:$Q$60,_xludf.AGGREGATE(15,6,(ROW('INPUT DATA'!$Q$11:$Q$60)-ROW('INPUT DATA'!$Q$11)+1)/('INPUT DATA'!$Q$11:$Q$60&lt;&gt;""),ROWS($A$1:A96)-COUNTA('INPUT DATA'!$L$11:$L$60)))),"")</f>
        <v/>
      </c>
    </row>
    <row r="97" ht="12.75" customHeight="1">
      <c r="A97" t="str">
        <f t="array" ref="A97">IFERROR(IF(ROWS($A$1:A97)&lt;=COUNTA('INPUT DATA'!$L$11:$L$60),INDEX('INPUT DATA'!$L$11:$L$60,_xludf.AGGREGATE(15,6,(ROW('INPUT DATA'!$L$11:$L$60)-ROW('INPUT DATA'!$L$11)+1)/('INPUT DATA'!$L$11:$L$60&lt;&gt;""),ROWS($A$1:A97))),INDEX('INPUT DATA'!$Q$11:$Q$60,_xludf.AGGREGATE(15,6,(ROW('INPUT DATA'!$Q$11:$Q$60)-ROW('INPUT DATA'!$Q$11)+1)/('INPUT DATA'!$Q$11:$Q$60&lt;&gt;""),ROWS($A$1:A97)-COUNTA('INPUT DATA'!$L$11:$L$60)))),"")</f>
        <v/>
      </c>
    </row>
    <row r="98" ht="12.75" customHeight="1">
      <c r="A98" t="str">
        <f t="array" ref="A98">IFERROR(IF(ROWS($A$1:A98)&lt;=COUNTA('INPUT DATA'!$L$11:$L$60),INDEX('INPUT DATA'!$L$11:$L$60,_xludf.AGGREGATE(15,6,(ROW('INPUT DATA'!$L$11:$L$60)-ROW('INPUT DATA'!$L$11)+1)/('INPUT DATA'!$L$11:$L$60&lt;&gt;""),ROWS($A$1:A98))),INDEX('INPUT DATA'!$Q$11:$Q$60,_xludf.AGGREGATE(15,6,(ROW('INPUT DATA'!$Q$11:$Q$60)-ROW('INPUT DATA'!$Q$11)+1)/('INPUT DATA'!$Q$11:$Q$60&lt;&gt;""),ROWS($A$1:A98)-COUNTA('INPUT DATA'!$L$11:$L$60)))),"")</f>
        <v/>
      </c>
    </row>
    <row r="99" ht="12.75" customHeight="1">
      <c r="A99" t="str">
        <f t="array" ref="A99">IFERROR(IF(ROWS($A$1:A99)&lt;=COUNTA('INPUT DATA'!$L$11:$L$60),INDEX('INPUT DATA'!$L$11:$L$60,_xludf.AGGREGATE(15,6,(ROW('INPUT DATA'!$L$11:$L$60)-ROW('INPUT DATA'!$L$11)+1)/('INPUT DATA'!$L$11:$L$60&lt;&gt;""),ROWS($A$1:A99))),INDEX('INPUT DATA'!$Q$11:$Q$60,_xludf.AGGREGATE(15,6,(ROW('INPUT DATA'!$Q$11:$Q$60)-ROW('INPUT DATA'!$Q$11)+1)/('INPUT DATA'!$Q$11:$Q$60&lt;&gt;""),ROWS($A$1:A99)-COUNTA('INPUT DATA'!$L$11:$L$60)))),"")</f>
        <v/>
      </c>
    </row>
    <row r="100" ht="12.75" customHeight="1">
      <c r="A100" t="str">
        <f t="array" ref="A100">IFERROR(IF(ROWS($A$1:A100)&lt;=COUNTA('INPUT DATA'!$L$11:$L$60),INDEX('INPUT DATA'!$L$11:$L$60,_xludf.AGGREGATE(15,6,(ROW('INPUT DATA'!$L$11:$L$60)-ROW('INPUT DATA'!$L$11)+1)/('INPUT DATA'!$L$11:$L$60&lt;&gt;""),ROWS($A$1:A100))),INDEX('INPUT DATA'!$Q$11:$Q$60,_xludf.AGGREGATE(15,6,(ROW('INPUT DATA'!$Q$11:$Q$60)-ROW('INPUT DATA'!$Q$11)+1)/('INPUT DATA'!$Q$11:$Q$60&lt;&gt;""),ROWS($A$1:A100)-COUNTA('INPUT DATA'!$L$11:$L$60)))),"")</f>
        <v/>
      </c>
    </row>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5" right="0.75" top="1" bottom="1" header="0" footer="0"/>
  <ignoredErrors>
    <ignoredError numberStoredAsText="1" sqref="A1:A10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Home</vt:lpstr>
      <vt:lpstr>INPUT DATA</vt:lpstr>
      <vt:lpstr>SF9 - KINDER</vt:lpstr>
      <vt:lpstr>TERM 1 SUMMARY</vt:lpstr>
      <vt:lpstr>TERM 2 SUMMARY</vt:lpstr>
      <vt:lpstr>TERM 3 SUMMARY</vt:lpstr>
      <vt:lpstr>KINDER - ATTENDANCE RECORD SUMM</vt:lpstr>
      <vt:lpstr>_SF9_LEARNER_LIST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2026-08-27T00:13:46Z</dcterms:created>
  <dc:creator>MICAH JOY MITRA</dc:creator>
</cp:coreProperties>
</file>